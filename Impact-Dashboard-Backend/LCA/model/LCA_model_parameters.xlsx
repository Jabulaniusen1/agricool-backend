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2021-data-org\4._RESEARCH_n\Sustainability\"/>
    </mc:Choice>
  </mc:AlternateContent>
  <bookViews>
    <workbookView xWindow="0" yWindow="0" windowWidth="28800" windowHeight="12533" activeTab="1"/>
  </bookViews>
  <sheets>
    <sheet name="1.Goal and scope definition" sheetId="1" r:id="rId1"/>
    <sheet name="2.Inventory analysis" sheetId="2" r:id="rId2"/>
    <sheet name="3.Impact assessment" sheetId="3" r:id="rId3"/>
    <sheet name="References" sheetId="5" r:id="rId4"/>
  </sheets>
  <externalReferences>
    <externalReference r:id="rId5"/>
  </externalReferences>
  <definedNames>
    <definedName name="carton_weight">'[1]LCI parameters'!$C$9</definedName>
    <definedName name="cartons_per_pallet">'[1]LCI parameters'!$C$10</definedName>
    <definedName name="Cp_fruit">'[1]LCI parameters'!$C$29</definedName>
    <definedName name="EC_pre_cooling">'[1]LCI parameters'!$C$30</definedName>
    <definedName name="EC_sea_shipment">#REF!</definedName>
    <definedName name="fruit_diameter">#REF!</definedName>
    <definedName name="fruit_per_carton_number">#REF!</definedName>
    <definedName name="fruit_per_carton_weight">'[1]LCI parameters'!$C$7</definedName>
    <definedName name="p_lin1">#REF!</definedName>
    <definedName name="p_lin2">#REF!</definedName>
    <definedName name="pallet_per_container">'[1]LCI parameters'!$C$12</definedName>
    <definedName name="precooler_length">'[1]LCI parameters'!$C$32</definedName>
    <definedName name="precooler_width">'[1]LCI parameters'!$C$33</definedName>
    <definedName name="SECT_shipment">#REF!</definedName>
    <definedName name="SECT_storage">#REF!</definedName>
    <definedName name="share_fresh">#REF!</definedName>
    <definedName name="share_processing">#REF!</definedName>
    <definedName name="T_amb_shipment">#REF!</definedName>
    <definedName name="T_amb_storage">#REF!</definedName>
    <definedName name="Tf_pre_cooling">'[1]LCI parameters'!$C$28</definedName>
    <definedName name="Tf_sea_shipment">#REF!</definedName>
    <definedName name="Ti_pre_cooling">'[1]LCI parameters'!$C$27</definedName>
    <definedName name="time_shipment">#REF!</definedName>
    <definedName name="time_storage">#REF!</definedName>
    <definedName name="wax_thickness">#REF!</definedName>
  </definedNames>
  <calcPr calcId="162913"/>
  <extLst>
    <ext uri="GoogleSheetsCustomDataVersion2">
      <go:sheetsCustomData xmlns:go="http://customooxmlschemas.google.com/" r:id="rId10" roundtripDataChecksum="u5KbHQ3xYZUklDw3bCegfqNFduvk2LJ8vcI8RdL/gE8="/>
    </ext>
  </extLst>
</workbook>
</file>

<file path=xl/calcChain.xml><?xml version="1.0" encoding="utf-8"?>
<calcChain xmlns="http://schemas.openxmlformats.org/spreadsheetml/2006/main">
  <c r="D46" i="2" l="1"/>
  <c r="D47" i="2" s="1"/>
  <c r="F5" i="3" s="1"/>
  <c r="D41" i="2"/>
  <c r="D44" i="2" s="1"/>
  <c r="F3" i="3" s="1"/>
  <c r="D39" i="2"/>
  <c r="D30" i="2"/>
  <c r="D29" i="2"/>
  <c r="D23" i="2"/>
  <c r="D40" i="2" s="1"/>
  <c r="D21" i="2"/>
  <c r="D38" i="2" l="1"/>
  <c r="D43" i="2" s="1"/>
  <c r="F2" i="3" s="1"/>
  <c r="D42" i="2"/>
  <c r="D45" i="2" s="1"/>
  <c r="F4" i="3" s="1"/>
  <c r="D51" i="2"/>
  <c r="F7" i="3" s="1"/>
  <c r="D52" i="2"/>
  <c r="F11" i="3" s="1"/>
  <c r="F12" i="3" s="1"/>
  <c r="D49" i="2"/>
  <c r="D50" i="2" s="1"/>
  <c r="F6" i="3" s="1"/>
  <c r="D53" i="2" l="1"/>
  <c r="F8" i="3" s="1"/>
  <c r="F9" i="3" s="1"/>
  <c r="F14" i="3" s="1"/>
  <c r="F15" i="3" s="1"/>
  <c r="F16" i="3" s="1"/>
  <c r="F17" i="3" s="1"/>
  <c r="F19" i="3" l="1"/>
  <c r="F18" i="3"/>
</calcChain>
</file>

<file path=xl/sharedStrings.xml><?xml version="1.0" encoding="utf-8"?>
<sst xmlns="http://schemas.openxmlformats.org/spreadsheetml/2006/main" count="239" uniqueCount="186">
  <si>
    <t>Goal</t>
  </si>
  <si>
    <t>To assess the environmental impact of storing fruits and vegetables in a decentralized cold room compared to storing them in natural shade</t>
  </si>
  <si>
    <t>Scope</t>
  </si>
  <si>
    <t xml:space="preserve">Food Storage </t>
  </si>
  <si>
    <t>Define functional unit (FU):</t>
  </si>
  <si>
    <t>1 kg fruits and vegetables stored per day</t>
  </si>
  <si>
    <t xml:space="preserve">List for Type of inputs and outputs (a classification system used in LCA to categorize the inputs and outputs of fresh produce during storage): </t>
  </si>
  <si>
    <t>FromTechnosphere (inputs that are transformed before they enter the system, e.g., energy from solar, battery etc)</t>
  </si>
  <si>
    <t>ToTechnosphere (outputs that are released into the environment after being transformed by the system)</t>
  </si>
  <si>
    <t>Indicator</t>
  </si>
  <si>
    <t>IPCC 2013 global warming potential (GWP100) no LongTerm emissions</t>
  </si>
  <si>
    <t>carbon footprint (CF) expressed in kg CO2 eq/FU</t>
  </si>
  <si>
    <t>Scenario: solar-powered cold room</t>
  </si>
  <si>
    <t>LCA parameters (focus is on Refrigerant, energy and food loss emissions)</t>
  </si>
  <si>
    <t>Name</t>
  </si>
  <si>
    <t>Unit</t>
  </si>
  <si>
    <t xml:space="preserve">Amount </t>
  </si>
  <si>
    <t>Description</t>
  </si>
  <si>
    <t>References</t>
  </si>
  <si>
    <t>Daily_wattage</t>
  </si>
  <si>
    <t>kWh/day</t>
  </si>
  <si>
    <t>Daily energy consumption of 3MT cold room (from CaaS model calculation)</t>
  </si>
  <si>
    <t>Type_of_thermal_storage</t>
  </si>
  <si>
    <t>Phase Change Materials</t>
  </si>
  <si>
    <t>Phase Change Materials (e.g., parrafin wax); Iceblocks Storage; Chilled Water Storage</t>
  </si>
  <si>
    <t>Solar panel parameters (cold room)</t>
  </si>
  <si>
    <t>Wax_weight_per_day</t>
  </si>
  <si>
    <t>kg</t>
  </si>
  <si>
    <t>Total_Ice_weight_per_day</t>
  </si>
  <si>
    <t>Cp_water</t>
  </si>
  <si>
    <t>kJ/kg/K</t>
  </si>
  <si>
    <t>Type_of_battery</t>
  </si>
  <si>
    <t>Lithium</t>
  </si>
  <si>
    <t>Lead acid batteries; Lithium ion batteries; Nickel based batteries; Flow batteries</t>
  </si>
  <si>
    <t>Number_of_battery</t>
  </si>
  <si>
    <t>Number of batteries (1 to 10)</t>
  </si>
  <si>
    <t>Battery_size_per_unit</t>
  </si>
  <si>
    <t>m3</t>
  </si>
  <si>
    <t>Size and number of the battery for powering up the cold room during solar off peak period (m2)</t>
  </si>
  <si>
    <t>Thermal storage option</t>
  </si>
  <si>
    <t>Battery_storage_capacity_per_unit</t>
  </si>
  <si>
    <t>Ah</t>
  </si>
  <si>
    <t>Power rating of the batter</t>
  </si>
  <si>
    <t>Max_charging_current_per_unit</t>
  </si>
  <si>
    <t>A</t>
  </si>
  <si>
    <t xml:space="preserve">10-100A </t>
  </si>
  <si>
    <t>Energy_storage_peak_per_unit</t>
  </si>
  <si>
    <t>kWh</t>
  </si>
  <si>
    <t>Energy storage at peak level (kWh) (range: 1- 50 kWh) or typical battery capacity in kWh</t>
  </si>
  <si>
    <t>Battery_weight_per_unit</t>
  </si>
  <si>
    <t xml:space="preserve">Weight of the battery </t>
  </si>
  <si>
    <t>https://swissbatt24.ch/versorgungsbatterien/lithium-batterien/2087/acconic-a100d-lifepo4-12v-lithium-versorgungsbatterie-100ah-din?gclid=CjwKCAjw15eqBhBZEiwAbDomEizc-H1IALFzdUapZqSKIZdQDlhiWSjbZFa2566yfS-hQjKcZ3JmBxoC8XQQAvD_BwE)</t>
  </si>
  <si>
    <t>Battery parameters (cold room)</t>
  </si>
  <si>
    <t>packaging_type</t>
  </si>
  <si>
    <t>plastic</t>
  </si>
  <si>
    <t>Type of crate used in the cold room</t>
  </si>
  <si>
    <t>Crate_size_length</t>
  </si>
  <si>
    <t>cm</t>
  </si>
  <si>
    <t>Length of a crate where fresh produce is stored</t>
  </si>
  <si>
    <t>Crate_size_width</t>
  </si>
  <si>
    <t>Width of a crate where fresh produce is stored</t>
  </si>
  <si>
    <t>Crate_size_height</t>
  </si>
  <si>
    <t>Height of a crate where fresh produce is stored</t>
  </si>
  <si>
    <t>Crate_weight</t>
  </si>
  <si>
    <t xml:space="preserve">kg </t>
  </si>
  <si>
    <t>Weight of a crate where fresh produce is stored</t>
  </si>
  <si>
    <t>no_crate_per_storage</t>
  </si>
  <si>
    <t>Amount of crate of fruit stored in the cold room (assuming total capacity of 150 crates and a 25% occupancy)</t>
  </si>
  <si>
    <t>weight_fruit_&amp;_crate</t>
  </si>
  <si>
    <t>Weight of fruit stored in a crate</t>
  </si>
  <si>
    <t>Cold room parameters</t>
  </si>
  <si>
    <t>fruit_weight</t>
  </si>
  <si>
    <t>Weight of fruit per basket</t>
  </si>
  <si>
    <t>Coldroom_insulator</t>
  </si>
  <si>
    <t>2 to 15 kilograms per square meter (for 150 mm reinforced insulation)</t>
  </si>
  <si>
    <t>Cp_fruit</t>
  </si>
  <si>
    <t xml:space="preserve">Average specific heat capacity of the common produce stored in the cold rooms including, Bell pepper, cucmber, apple, onion, and tomato. </t>
  </si>
  <si>
    <t>https://www.engineeringtoolbox.com/specific-heat-capacity-food-d_295.html</t>
  </si>
  <si>
    <t>cold room_length</t>
  </si>
  <si>
    <t>m</t>
  </si>
  <si>
    <t>Basal length of the cold room</t>
  </si>
  <si>
    <t>coldroom_width</t>
  </si>
  <si>
    <t>Basal width of the cold room</t>
  </si>
  <si>
    <t>Coldroom_height</t>
  </si>
  <si>
    <t>Height of the cold room</t>
  </si>
  <si>
    <t>Cold_room_weight</t>
  </si>
  <si>
    <t>To find the conversion factor from m³ to kg, you need to know the density of the material in question. Density is defined as mass per unit volume. Therefore, the conversion factor is: Density (kg/m³) = Mass (kg) / Volume (m³). So, for this specific material, the conversion factor is approximately 66.67 kg/m³</t>
  </si>
  <si>
    <t>total_cold_room_weight</t>
  </si>
  <si>
    <t>Total weight of the cold room (weight of the fruit + packaging (kg))</t>
  </si>
  <si>
    <t>T_amb_storage</t>
  </si>
  <si>
    <t>degC</t>
  </si>
  <si>
    <r>
      <rPr>
        <sz val="11"/>
        <color theme="1"/>
        <rFont val="Quattrocento Sans"/>
      </rPr>
      <t xml:space="preserve">Ambient temperature during storage: could use a constant value of 30 C or </t>
    </r>
    <r>
      <rPr>
        <u/>
        <sz val="11"/>
        <color rgb="FF1155CC"/>
        <rFont val="Quattrocento Sans"/>
      </rPr>
      <t>https://power.larc.nasa.gov/data-access-viewer/</t>
    </r>
  </si>
  <si>
    <t>Ti_storage</t>
  </si>
  <si>
    <t>Initial storage temperature of the cold room = T_amb_storage (from Coldtivate)</t>
  </si>
  <si>
    <t>Tf_storage_cooldown</t>
  </si>
  <si>
    <t>Final cold room temperature to cooldown (from Coldtivate)</t>
  </si>
  <si>
    <t>T_storage_maintain</t>
  </si>
  <si>
    <t xml:space="preserve">Average room temperature during storage </t>
  </si>
  <si>
    <t>T_room</t>
  </si>
  <si>
    <t>Real-time cold room temperature from the app</t>
  </si>
  <si>
    <t>time_storage</t>
  </si>
  <si>
    <t>d</t>
  </si>
  <si>
    <t>Duration in cold room before checkout (product-specific from Coldtivate)</t>
  </si>
  <si>
    <t>SECT_storage_cooldown</t>
  </si>
  <si>
    <t>The seven-eighths cooling time (SECT, t7/8) is the time (d) taken for Y = 0.125; where Y = (T_room - Tf_storage_cooldown)/(Ti_storage - Tf_storage_cooldown). We use a default value calcualted from the collected temperature data from coldroom in Ile-Ife (ColdHubs)</t>
  </si>
  <si>
    <t>EC_fruit</t>
  </si>
  <si>
    <t>Energy coefficient, which is the heat that has to be extracted from the produce (in kJ) per kJ of electricity that is consumed.  Where EC = fruit_weight per month*Cp_fruit (kJ*(Ti-Tf)/Electricity consumed per month (ecoinvent or cold room)*3600, per 1 kg of fruit</t>
  </si>
  <si>
    <t>EC_iceblock</t>
  </si>
  <si>
    <t>Energy coefficient, which is the heat that has to be extracted from the produce (in kJ) per kJ of electricity that is consumed.  Where EC = Total_Ice_weight_per_day*Cp_water (kJ*(Ti_storage-0)/Electricity consumed per month (ecoinvent or cold room)*3600, per 1 kg of fruit</t>
  </si>
  <si>
    <t>total_heat_removed_fruit</t>
  </si>
  <si>
    <t>kJ heat removed / 1 kg of fruit</t>
  </si>
  <si>
    <t>Total heat removed in the cold room per 1kg of fruit when the fruit is cool down from Ti to set temp (Tf_storage_cooldown. e.g 5degC)</t>
  </si>
  <si>
    <t>total_heat_battery</t>
  </si>
  <si>
    <t>kJ heat / 1 kg of fruit</t>
  </si>
  <si>
    <t>Total heat load coming from the battery using the formula = number of batteries to be charged per day x typical battery capacity (kWh) x 3600 kJ/kWh x 24 hours (or time for charging) x  battery efficiency, assumed = 0.8</t>
  </si>
  <si>
    <t>total_heat_icepack</t>
  </si>
  <si>
    <t>The heat load required for producing an ice pack depends on the desired size and temperature of the ice pack, the initial temperature of the materials, and the specific heat capacity of the substances water = (m*cp*delta T)</t>
  </si>
  <si>
    <t>Green highlighted text indicate energy consumed, refrigerant used, food loss, and food waste during cooling</t>
  </si>
  <si>
    <t>electricity_cooling_fruit</t>
  </si>
  <si>
    <t>kWh / 1 kg of fruit</t>
  </si>
  <si>
    <t>Electricity consumed for initial cooling during refrigeration per 1 kg fruit</t>
  </si>
  <si>
    <t>electricity_charging_battery</t>
  </si>
  <si>
    <t>Total load / efficiency of the charging process/ coversion factor to kWh</t>
  </si>
  <si>
    <t>electricity_iceblock_produced</t>
  </si>
  <si>
    <t>Electricity consumed for produce icepack per 1 kg fruit</t>
  </si>
  <si>
    <t>power_maintain_cooling</t>
  </si>
  <si>
    <t xml:space="preserve">kW </t>
  </si>
  <si>
    <t>Power consumed per TEU (based on eq. 0.0696*T_amb_storage + 0.9691, where T is ambient temp in degC (TEU= Twenty-foot equivalent unit)</t>
  </si>
  <si>
    <t>electricity_maintain_cooling</t>
  </si>
  <si>
    <t>Electricity consumed per day by cold room in maintaining cooling of fresh produce per 1kg of fruit (kWh/1 kg fruit)</t>
  </si>
  <si>
    <t>refrigerant_type</t>
  </si>
  <si>
    <t>R290</t>
  </si>
  <si>
    <t>R290, R-410A, R-407c, R717, R600, R600A, R601, R601A (this are the common refrigerant for cold rooms)</t>
  </si>
  <si>
    <t>amount_refrigerant</t>
  </si>
  <si>
    <t>Amount of refrigerant used in the cooling system per 1kg of fruit</t>
  </si>
  <si>
    <t>refrigerant_cooling</t>
  </si>
  <si>
    <t>kg/ 1g of fruit</t>
  </si>
  <si>
    <t>Type of refrigerant used in the cooling system ((amount_refrigerant*0.1*time_storage_maintain/365))- Annual leakage of 10%</t>
  </si>
  <si>
    <t>food_loss_cold_room</t>
  </si>
  <si>
    <t>Food loss during cold storage (I assumed 7% of the stored fruits in the room are lost, based on post survey data in Coldtivate)</t>
  </si>
  <si>
    <t>food_loss_ambient</t>
  </si>
  <si>
    <t>Food loss without cold storage (I assumed 50% based on personal communication from ColdHubs data. This information could be refined by user survey data in Coldtivate)</t>
  </si>
  <si>
    <t>share_landfil_operator</t>
  </si>
  <si>
    <t xml:space="preserve">Assuming that 1% of produce per month brought to the cold room is thrown away </t>
  </si>
  <si>
    <t>Step</t>
  </si>
  <si>
    <t>Name of ecoinvent exchange</t>
  </si>
  <si>
    <t>Database</t>
  </si>
  <si>
    <t>IPCC kg CO2-eq/unit</t>
  </si>
  <si>
    <t>Impact for active cooling (kg CO2 / kg fruit)</t>
  </si>
  <si>
    <t>electricity, low voltage//[RoW] electricity production, photovoltaic, 3kWp slanted-roof installation, multi-Si, panel, mounted</t>
  </si>
  <si>
    <t>EcoInvent v.3.8</t>
  </si>
  <si>
    <t>1 kWh</t>
  </si>
  <si>
    <t>electricty_charging_battery</t>
  </si>
  <si>
    <t>refrigerant R134a//[GLO] market for refrigerant R134a</t>
  </si>
  <si>
    <t>biowaste//[RoW] market for biowaste</t>
  </si>
  <si>
    <t>biowaste, garden waste//[GLO] market for biowaste, garden waste</t>
  </si>
  <si>
    <t>TOTAL IMPACT WITH COLD ROOM</t>
  </si>
  <si>
    <t>TOTAL IMPACT WITHOUT COLD ROOM</t>
  </si>
  <si>
    <t>kg CO2/kg of fruit SAVING DUE TO COOLING</t>
  </si>
  <si>
    <t>kg CO2 per day SAVING DUE TO COOLING</t>
  </si>
  <si>
    <t>kg CO2 per year SAVING DUE TO COOLING</t>
  </si>
  <si>
    <t>tonnes CO2 per year SAVING DUE TO COOLING per cold room</t>
  </si>
  <si>
    <t>tonnes CO2 per year SAVING DUE TO COOLING for 19 cold rooms</t>
  </si>
  <si>
    <t>tonnes CO2 per year SAVING DUE TO COOLING for 500 cold rooms ('full scale')</t>
  </si>
  <si>
    <t>Castellani, V., Fusi, A., &amp; Sala, S. (2017). Consumer Footprint. Basket of Products indicator on Food, EUR 28764 EN, Publications Office of the European Union, Luxembourg, 2017.</t>
  </si>
  <si>
    <r>
      <rPr>
        <sz val="10"/>
        <color theme="1"/>
        <rFont val="Quattrocento Sans"/>
      </rPr>
      <t xml:space="preserve">Chavan, P., Singh, A. K., &amp; Kaur, G. (2018). Recent progress in the utilization of industrial waste and by‐products of citrus fruits: A review. </t>
    </r>
    <r>
      <rPr>
        <i/>
        <sz val="10"/>
        <color theme="1"/>
        <rFont val="Segoe UI"/>
      </rPr>
      <t>Journal of Food Process Engineering</t>
    </r>
    <r>
      <rPr>
        <sz val="10"/>
        <color theme="1"/>
        <rFont val="Segoe UI"/>
      </rPr>
      <t xml:space="preserve">, </t>
    </r>
    <r>
      <rPr>
        <i/>
        <sz val="10"/>
        <color theme="1"/>
        <rFont val="Segoe UI"/>
      </rPr>
      <t>41</t>
    </r>
    <r>
      <rPr>
        <sz val="10"/>
        <color theme="1"/>
        <rFont val="Segoe UI"/>
      </rPr>
      <t>(8), e12895.</t>
    </r>
  </si>
  <si>
    <t>de Cassia Vieira Cardoso, R., Vasconcelos Luckesi, M., Lordelo Guimarães Tavares, P.P., and da Costa Souza, A.L. (2021). Chapter 1 - Fruit and vegetable waste at domiciliary level: what is the panorama? Food Losses, Sustainable Postharvest and Food Technologies (pp. 1-32). Academic Press.</t>
  </si>
  <si>
    <t>EEA (2013) EMEP/EEA air pollutant emission inventory guidebook 2013 - Technical guidance to prepare national emission inventories. European Environment
Agency, Luxembourg, EEA Technical report No 12/2013. Available at http://www.eea.europa.eu.</t>
  </si>
  <si>
    <t xml:space="preserve">EC (2021). https://ec.europa.eu/food/system/files/2021-04/fw_lib_stud-rep-pol_ec-know-cen_bioeconomy_2021.pdf) </t>
  </si>
  <si>
    <r>
      <rPr>
        <sz val="10"/>
        <color theme="1"/>
        <rFont val="Quattrocento Sans"/>
      </rPr>
      <t xml:space="preserve">Fraser, H. (2014). Forced-Air Cooling Systems for Fresh Ontario Fruits and Vegetables. </t>
    </r>
    <r>
      <rPr>
        <i/>
        <sz val="10"/>
        <color theme="1"/>
        <rFont val="Segoe UI"/>
      </rPr>
      <t>Ontario Ministry of Agriculture, Food and Rural Affairs: Toronto, ON, Canada</t>
    </r>
    <r>
      <rPr>
        <sz val="10"/>
        <color theme="1"/>
        <rFont val="Segoe UI"/>
      </rPr>
      <t>.</t>
    </r>
  </si>
  <si>
    <r>
      <rPr>
        <sz val="10"/>
        <color theme="1"/>
        <rFont val="Quattrocento Sans"/>
      </rPr>
      <t xml:space="preserve">Porat, R., Lichter, A., Terry, L. A., Harker, R., &amp; Buzby, J. (2018). Postharvest losses of fruit and vegetables during retail and in consumers’ homes: Quantifications, causes, and means of prevention. </t>
    </r>
    <r>
      <rPr>
        <i/>
        <sz val="10"/>
        <color theme="1"/>
        <rFont val="Segoe UI"/>
      </rPr>
      <t>Postharvest biology and technology</t>
    </r>
    <r>
      <rPr>
        <sz val="10"/>
        <color theme="1"/>
        <rFont val="Segoe UI"/>
      </rPr>
      <t xml:space="preserve">, </t>
    </r>
    <r>
      <rPr>
        <i/>
        <sz val="10"/>
        <color theme="1"/>
        <rFont val="Segoe UI"/>
      </rPr>
      <t>139</t>
    </r>
    <r>
      <rPr>
        <sz val="10"/>
        <color theme="1"/>
        <rFont val="Segoe UI"/>
      </rPr>
      <t>, 135-149.</t>
    </r>
  </si>
  <si>
    <r>
      <rPr>
        <sz val="10"/>
        <color theme="1"/>
        <rFont val="Quattrocento Sans"/>
      </rPr>
      <t xml:space="preserve">Ribal, J., Ramírez-Sanz, C., Estruch, V., Clemente, G., &amp; Sanjuán, N. (2017). Organic versus conventional citrus. Impact assessment and variability analysis in the Comunitat Valenciana (Spain). </t>
    </r>
    <r>
      <rPr>
        <i/>
        <sz val="10"/>
        <color theme="1"/>
        <rFont val="Segoe UI"/>
      </rPr>
      <t>The International Journal of Life Cycle Assessment</t>
    </r>
    <r>
      <rPr>
        <sz val="10"/>
        <color theme="1"/>
        <rFont val="Segoe UI"/>
      </rPr>
      <t xml:space="preserve">, </t>
    </r>
    <r>
      <rPr>
        <i/>
        <sz val="10"/>
        <color theme="1"/>
        <rFont val="Segoe UI"/>
      </rPr>
      <t>22</t>
    </r>
    <r>
      <rPr>
        <sz val="10"/>
        <color theme="1"/>
        <rFont val="Segoe UI"/>
      </rPr>
      <t>, 571-586.</t>
    </r>
  </si>
  <si>
    <r>
      <rPr>
        <sz val="10"/>
        <color theme="1"/>
        <rFont val="Quattrocento Sans"/>
      </rPr>
      <t xml:space="preserve">Scholz, K., Eriksson, M., &amp; Strid, I. (2015). Carbon footprint of supermarket food waste. </t>
    </r>
    <r>
      <rPr>
        <i/>
        <sz val="10"/>
        <color theme="1"/>
        <rFont val="Segoe UI"/>
      </rPr>
      <t>Resources, Conservation and Recycling</t>
    </r>
    <r>
      <rPr>
        <sz val="10"/>
        <color theme="1"/>
        <rFont val="Segoe UI"/>
      </rPr>
      <t xml:space="preserve">, </t>
    </r>
    <r>
      <rPr>
        <i/>
        <sz val="10"/>
        <color theme="1"/>
        <rFont val="Segoe UI"/>
      </rPr>
      <t>94</t>
    </r>
    <r>
      <rPr>
        <sz val="10"/>
        <color theme="1"/>
        <rFont val="Segoe UI"/>
      </rPr>
      <t>, 56-65.</t>
    </r>
  </si>
  <si>
    <t>Soleil Sitrus, pack-house info: https://www.soleilsitrus.co.za/packhouse/#:~:text=The%20size%20of%20the%20packhouse,small%20amount%20of%20easy%20peelers . Accessed 2022-2023</t>
  </si>
  <si>
    <r>
      <rPr>
        <sz val="10"/>
        <color theme="1"/>
        <rFont val="Quattrocento Sans"/>
      </rPr>
      <t xml:space="preserve">Stoessel, F., Juraske, R., Pfister, S., &amp; Hellweg, S. (2012). Life cycle inventory and carbon and water foodprint of fruits and vegetables: application to a Swiss retailer. </t>
    </r>
    <r>
      <rPr>
        <i/>
        <sz val="10"/>
        <color theme="1"/>
        <rFont val="Segoe UI"/>
      </rPr>
      <t>Environmental science &amp; technology</t>
    </r>
    <r>
      <rPr>
        <sz val="10"/>
        <color theme="1"/>
        <rFont val="Segoe UI"/>
      </rPr>
      <t xml:space="preserve">, </t>
    </r>
    <r>
      <rPr>
        <i/>
        <sz val="10"/>
        <color theme="1"/>
        <rFont val="Segoe UI"/>
      </rPr>
      <t>46</t>
    </r>
    <r>
      <rPr>
        <sz val="10"/>
        <color theme="1"/>
        <rFont val="Segoe UI"/>
      </rPr>
      <t>(6), 3253-3262.</t>
    </r>
  </si>
  <si>
    <r>
      <rPr>
        <sz val="10"/>
        <color theme="1"/>
        <rFont val="Quattrocento Sans"/>
      </rPr>
      <t xml:space="preserve">Van Dooren, C., Janmaat, O., Snoek, J., &amp; Schrijnen, M. (2019). Measuring food waste in Dutch households: A synthesis of three studies. </t>
    </r>
    <r>
      <rPr>
        <i/>
        <sz val="10"/>
        <color theme="1"/>
        <rFont val="Segoe UI"/>
      </rPr>
      <t>Waste management</t>
    </r>
    <r>
      <rPr>
        <sz val="10"/>
        <color theme="1"/>
        <rFont val="Segoe UI"/>
      </rPr>
      <t xml:space="preserve">, </t>
    </r>
    <r>
      <rPr>
        <i/>
        <sz val="10"/>
        <color theme="1"/>
        <rFont val="Segoe UI"/>
      </rPr>
      <t>94</t>
    </r>
    <r>
      <rPr>
        <sz val="10"/>
        <color theme="1"/>
        <rFont val="Segoe UI"/>
      </rPr>
      <t>, 153-164.</t>
    </r>
  </si>
  <si>
    <t>WFLDP (World Food LCA Database) guidelines, v.3.5 released in 2019, updated in 2020</t>
  </si>
  <si>
    <r>
      <rPr>
        <sz val="10"/>
        <color theme="1"/>
        <rFont val="Quattrocento Sans"/>
      </rPr>
      <t xml:space="preserve">Wu, W., Beretta, C., Cronje, P., Hellweg, S., &amp; Defraeye, T. (2019). Environmental trade-offs in fresh-fruit cold chains by combining virtual cold chains with life cycle assessment. </t>
    </r>
    <r>
      <rPr>
        <i/>
        <sz val="10"/>
        <color theme="1"/>
        <rFont val="Segoe UI"/>
      </rPr>
      <t>Applied Energy</t>
    </r>
    <r>
      <rPr>
        <sz val="10"/>
        <color theme="1"/>
        <rFont val="Segoe UI"/>
      </rPr>
      <t xml:space="preserve">, </t>
    </r>
    <r>
      <rPr>
        <i/>
        <sz val="10"/>
        <color theme="1"/>
        <rFont val="Segoe UI"/>
      </rPr>
      <t>254</t>
    </r>
    <r>
      <rPr>
        <sz val="10"/>
        <color theme="1"/>
        <rFont val="Segoe UI"/>
      </rPr>
      <t>, 113586.</t>
    </r>
  </si>
  <si>
    <r>
      <rPr>
        <sz val="10"/>
        <color theme="1"/>
        <rFont val="Quattrocento Sans"/>
      </rPr>
      <t xml:space="preserve">Wu, W., Häller, P., Cronjé, P., &amp; Defraeye, T. (2018). Full-scale experiments in forced-air precoolers for citrus fruit: Impact of packaging design and fruit size on cooling rate and heterogeneity. </t>
    </r>
    <r>
      <rPr>
        <i/>
        <sz val="10"/>
        <color theme="1"/>
        <rFont val="Segoe UI"/>
      </rPr>
      <t>Biosystems Engineering</t>
    </r>
    <r>
      <rPr>
        <sz val="10"/>
        <color theme="1"/>
        <rFont val="Segoe UI"/>
      </rPr>
      <t xml:space="preserve">, </t>
    </r>
    <r>
      <rPr>
        <i/>
        <sz val="10"/>
        <color theme="1"/>
        <rFont val="Segoe UI"/>
      </rPr>
      <t>169</t>
    </r>
    <r>
      <rPr>
        <sz val="10"/>
        <color theme="1"/>
        <rFont val="Segoe UI"/>
      </rPr>
      <t>, 115-125.</t>
    </r>
  </si>
  <si>
    <t>https://theengineeringmindset.com/cooling-load-calculation-cold-room/#google_vignette</t>
  </si>
  <si>
    <t>https://www.freecold.com/en/freecold-photovoltaic-solar-refrigeration/solar-powered-cold-room/</t>
  </si>
  <si>
    <t>https://www.coldhubs.com/</t>
  </si>
  <si>
    <t>https://energy-base.org/news/what-is-the-role-of-digitalisation-for-a-sustainable-agri-food-system/</t>
  </si>
  <si>
    <t>https://power.larc.nasa.gov/data-access-viewer/</t>
  </si>
  <si>
    <t>https://www.auer-packaging.com/ch/de/Eurobeh%C3%A4lter-durchbrochen/EO-6442.html?color=7001</t>
  </si>
  <si>
    <t>https://swissbatt24.ch/versorgungsbatterien/lithium-batterien/2087/acconic-a100d-lifepo4-12v-lithium-versorgungsbatterie-100ah-din?gclid=CjwKCAjw15eqBhBZEiwAbDomEizc-H1IALFzdUapZqSKIZdQDlhiWSjbZFa2566yfS-hQjKcZ3JmBxoC8XQQAvD_BwE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</si>
</sst>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0"/>
      <color theme="1"/>
      <name val="Quattrocento Sans"/>
      <scheme val="minor"/>
    </font>
    <font>
      <b/>
      <sz val="10"/>
      <color theme="1"/>
      <name val="Quattrocento Sans"/>
      <scheme val="minor"/>
    </font>
    <font>
      <sz val="10"/>
      <color rgb="FF7F7F7F"/>
      <name val="Quattrocento Sans"/>
      <scheme val="minor"/>
    </font>
    <font>
      <sz val="10"/>
      <color theme="1"/>
      <name val="Quattrocento Sans"/>
      <scheme val="minor"/>
    </font>
    <font>
      <b/>
      <sz val="12"/>
      <color theme="1"/>
      <name val="Quattrocento Sans"/>
      <scheme val="minor"/>
    </font>
    <font>
      <sz val="11"/>
      <color theme="1"/>
      <name val="Quattrocento Sans"/>
      <scheme val="minor"/>
    </font>
    <font>
      <b/>
      <sz val="11"/>
      <color theme="1"/>
      <name val="Quattrocento Sans"/>
      <scheme val="minor"/>
    </font>
    <font>
      <u/>
      <sz val="11"/>
      <color rgb="FF0000FF"/>
      <name val="Quattrocento Sans"/>
    </font>
    <font>
      <u/>
      <sz val="11"/>
      <color rgb="FF000000"/>
      <name val="&quot;docs-Quattrocento Sans&quot;"/>
    </font>
    <font>
      <u/>
      <sz val="11"/>
      <color theme="1"/>
      <name val="Quattrocento Sans"/>
    </font>
    <font>
      <sz val="10"/>
      <color theme="1"/>
      <name val="Quattrocento Sans"/>
    </font>
    <font>
      <sz val="10"/>
      <color rgb="FFFF0000"/>
      <name val="Quattrocento Sans"/>
    </font>
    <font>
      <sz val="11"/>
      <color theme="1"/>
      <name val="Quattrocento Sans"/>
    </font>
    <font>
      <sz val="11"/>
      <color theme="1"/>
      <name val="Calibri"/>
    </font>
    <font>
      <b/>
      <sz val="12"/>
      <color theme="1"/>
      <name val="Calibri"/>
    </font>
    <font>
      <sz val="12"/>
      <color theme="1"/>
      <name val="Calibri"/>
    </font>
    <font>
      <b/>
      <sz val="11"/>
      <color theme="1"/>
      <name val="Calibri"/>
    </font>
    <font>
      <b/>
      <sz val="10"/>
      <color rgb="FF3F3F3F"/>
      <name val="Quattrocento Sans"/>
    </font>
    <font>
      <b/>
      <sz val="10"/>
      <color theme="1"/>
      <name val="Quattrocento Sans"/>
    </font>
    <font>
      <b/>
      <sz val="10"/>
      <color theme="1"/>
      <name val="Calibri"/>
    </font>
    <font>
      <sz val="10"/>
      <color theme="1"/>
      <name val="Calibri"/>
    </font>
    <font>
      <u/>
      <sz val="11"/>
      <color rgb="FF1155CC"/>
      <name val="Quattrocento Sans"/>
    </font>
    <font>
      <i/>
      <sz val="10"/>
      <color theme="1"/>
      <name val="Segoe UI"/>
    </font>
    <font>
      <sz val="10"/>
      <color theme="1"/>
      <name val="Segoe UI"/>
    </font>
  </fonts>
  <fills count="8">
    <fill>
      <patternFill patternType="none"/>
    </fill>
    <fill>
      <patternFill patternType="gray125"/>
    </fill>
    <fill>
      <patternFill patternType="solid">
        <fgColor rgb="FFC9DAF8"/>
        <bgColor rgb="FFC9DAF8"/>
      </patternFill>
    </fill>
    <fill>
      <patternFill patternType="solid">
        <fgColor theme="0"/>
        <bgColor theme="0"/>
      </patternFill>
    </fill>
    <fill>
      <patternFill patternType="solid">
        <fgColor rgb="FFFFFFFF"/>
        <bgColor rgb="FFFFFFFF"/>
      </patternFill>
    </fill>
    <fill>
      <patternFill patternType="solid">
        <fgColor rgb="FF92D050"/>
        <bgColor rgb="FF92D050"/>
      </patternFill>
    </fill>
    <fill>
      <patternFill patternType="solid">
        <fgColor rgb="FFF3F3F3"/>
        <bgColor rgb="FFF3F3F3"/>
      </patternFill>
    </fill>
    <fill>
      <patternFill patternType="solid">
        <fgColor rgb="FFB6D7A8"/>
        <bgColor rgb="FFB6D7A8"/>
      </patternFill>
    </fill>
  </fills>
  <borders count="4">
    <border>
      <left/>
      <right/>
      <top/>
      <bottom/>
      <diagonal/>
    </border>
    <border>
      <left/>
      <right/>
      <top/>
      <bottom/>
      <diagonal/>
    </border>
    <border>
      <left style="thin">
        <color rgb="FFD8D8D8"/>
      </left>
      <right style="thin">
        <color rgb="FFD8D8D8"/>
      </right>
      <top/>
      <bottom style="thin">
        <color rgb="FFD8D8D8"/>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3">
    <xf numFmtId="0" fontId="0" fillId="0" borderId="0" xfId="0" applyFont="1" applyAlignment="1"/>
    <xf numFmtId="0" fontId="1" fillId="0" borderId="0" xfId="0" applyFont="1"/>
    <xf numFmtId="0" fontId="2" fillId="0" borderId="0" xfId="0" applyFont="1"/>
    <xf numFmtId="0" fontId="3" fillId="0" borderId="0" xfId="0" applyFont="1"/>
    <xf numFmtId="0" fontId="1" fillId="0" borderId="0" xfId="0" applyFont="1" applyAlignment="1"/>
    <xf numFmtId="0" fontId="3" fillId="0" borderId="0" xfId="0" applyFont="1" applyAlignment="1"/>
    <xf numFmtId="0" fontId="4" fillId="2" borderId="0" xfId="0" applyFont="1" applyFill="1" applyAlignment="1">
      <alignment wrapText="1"/>
    </xf>
    <xf numFmtId="0" fontId="4" fillId="2" borderId="0" xfId="0" applyFont="1" applyFill="1" applyAlignment="1">
      <alignment wrapText="1"/>
    </xf>
    <xf numFmtId="0" fontId="4" fillId="2" borderId="0" xfId="0" applyFont="1" applyFill="1"/>
    <xf numFmtId="0" fontId="5" fillId="2" borderId="0" xfId="0" applyFont="1" applyFill="1" applyAlignment="1">
      <alignment horizontal="center"/>
    </xf>
    <xf numFmtId="0" fontId="5" fillId="2" borderId="0" xfId="0" applyFont="1" applyFill="1"/>
    <xf numFmtId="0" fontId="3" fillId="2" borderId="0" xfId="0" applyFont="1" applyFill="1"/>
    <xf numFmtId="0" fontId="6" fillId="3" borderId="1" xfId="0" applyFont="1" applyFill="1" applyBorder="1" applyAlignment="1"/>
    <xf numFmtId="0" fontId="6" fillId="3" borderId="1" xfId="0" applyFont="1" applyFill="1" applyBorder="1"/>
    <xf numFmtId="0" fontId="6" fillId="3" borderId="1" xfId="0" applyFont="1" applyFill="1" applyBorder="1" applyAlignment="1">
      <alignment horizontal="center"/>
    </xf>
    <xf numFmtId="0" fontId="6" fillId="0" borderId="0" xfId="0" applyFont="1" applyAlignment="1"/>
    <xf numFmtId="0" fontId="5" fillId="0" borderId="0" xfId="0" applyFont="1"/>
    <xf numFmtId="0" fontId="5" fillId="0" borderId="0" xfId="0" applyFont="1" applyAlignment="1">
      <alignment horizontal="center"/>
    </xf>
    <xf numFmtId="0" fontId="5" fillId="0" borderId="0" xfId="0" applyFont="1" applyAlignment="1">
      <alignment wrapText="1"/>
    </xf>
    <xf numFmtId="0" fontId="0" fillId="0" borderId="0" xfId="0" applyFont="1" applyAlignment="1">
      <alignment wrapText="1"/>
    </xf>
    <xf numFmtId="0" fontId="5" fillId="0" borderId="0" xfId="0" applyFont="1"/>
    <xf numFmtId="0" fontId="5" fillId="0" borderId="0" xfId="0" applyFont="1" applyAlignment="1">
      <alignment wrapText="1"/>
    </xf>
    <xf numFmtId="0" fontId="7" fillId="0" borderId="0" xfId="0" applyFont="1" applyAlignment="1"/>
    <xf numFmtId="0" fontId="5" fillId="0" borderId="0" xfId="0" applyFont="1" applyAlignment="1">
      <alignment wrapText="1"/>
    </xf>
    <xf numFmtId="0" fontId="5" fillId="0" borderId="0" xfId="0" applyFont="1" applyAlignment="1">
      <alignment horizontal="center" wrapText="1"/>
    </xf>
    <xf numFmtId="0" fontId="5" fillId="0" borderId="0" xfId="0" applyFont="1" applyAlignment="1">
      <alignment vertical="center" wrapText="1"/>
    </xf>
    <xf numFmtId="0" fontId="5" fillId="0" borderId="0" xfId="0" applyFont="1" applyAlignment="1"/>
    <xf numFmtId="0" fontId="5" fillId="0" borderId="0" xfId="0" applyFont="1" applyAlignment="1">
      <alignment horizontal="center"/>
    </xf>
    <xf numFmtId="0" fontId="5" fillId="0" borderId="2" xfId="0" applyFont="1" applyBorder="1" applyAlignment="1">
      <alignment horizontal="center" vertical="center"/>
    </xf>
    <xf numFmtId="0" fontId="8" fillId="0" borderId="0" xfId="0" applyFont="1" applyAlignment="1"/>
    <xf numFmtId="0" fontId="5" fillId="4" borderId="0" xfId="0" applyFont="1" applyFill="1" applyAlignment="1"/>
    <xf numFmtId="0" fontId="5" fillId="4" borderId="0" xfId="0" applyFont="1" applyFill="1" applyAlignment="1">
      <alignment wrapText="1"/>
    </xf>
    <xf numFmtId="0" fontId="1" fillId="0" borderId="0" xfId="0" applyFont="1" applyAlignment="1">
      <alignment horizontal="center"/>
    </xf>
    <xf numFmtId="0" fontId="9" fillId="0" borderId="0" xfId="0" applyFont="1" applyAlignment="1"/>
    <xf numFmtId="0" fontId="10" fillId="0" borderId="0" xfId="0" applyFont="1"/>
    <xf numFmtId="0" fontId="1" fillId="0" borderId="0" xfId="0" applyFont="1" applyAlignment="1">
      <alignment wrapText="1"/>
    </xf>
    <xf numFmtId="0" fontId="6" fillId="5" borderId="1" xfId="0" applyFont="1" applyFill="1" applyBorder="1"/>
    <xf numFmtId="0" fontId="6" fillId="5" borderId="1" xfId="0" applyFont="1" applyFill="1" applyBorder="1" applyAlignment="1">
      <alignment wrapText="1"/>
    </xf>
    <xf numFmtId="0" fontId="6" fillId="5" borderId="1" xfId="0" applyFont="1" applyFill="1" applyBorder="1" applyAlignment="1">
      <alignment horizontal="center"/>
    </xf>
    <xf numFmtId="0" fontId="11"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xf>
    <xf numFmtId="0" fontId="6" fillId="0" borderId="2" xfId="0" applyFont="1" applyBorder="1" applyAlignment="1">
      <alignment horizontal="center" vertical="center"/>
    </xf>
    <xf numFmtId="0" fontId="6" fillId="5" borderId="1" xfId="0" applyFont="1" applyFill="1" applyBorder="1" applyAlignment="1">
      <alignment horizontal="center" wrapText="1"/>
    </xf>
    <xf numFmtId="0" fontId="5" fillId="0" borderId="0" xfId="0" applyFont="1" applyAlignment="1">
      <alignment vertical="center" wrapText="1"/>
    </xf>
    <xf numFmtId="0" fontId="5" fillId="0" borderId="0" xfId="0" applyFont="1" applyAlignment="1">
      <alignment horizontal="left" wrapText="1"/>
    </xf>
    <xf numFmtId="0" fontId="12" fillId="0" borderId="0" xfId="0" applyFont="1" applyAlignment="1">
      <alignment horizontal="center"/>
    </xf>
    <xf numFmtId="0" fontId="10" fillId="0" borderId="0" xfId="0" applyFont="1" applyAlignment="1">
      <alignment horizontal="center"/>
    </xf>
    <xf numFmtId="0" fontId="10" fillId="0" borderId="0" xfId="0" applyFont="1" applyAlignment="1">
      <alignment wrapText="1"/>
    </xf>
    <xf numFmtId="0" fontId="13" fillId="0" borderId="0" xfId="0" applyFont="1" applyAlignment="1">
      <alignment horizontal="center"/>
    </xf>
    <xf numFmtId="0" fontId="13" fillId="0" borderId="0" xfId="0" applyFont="1"/>
    <xf numFmtId="11" fontId="13" fillId="0" borderId="0" xfId="0" applyNumberFormat="1"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3" fillId="0" borderId="2" xfId="0" applyFont="1" applyBorder="1" applyAlignment="1">
      <alignment horizontal="center" vertical="center"/>
    </xf>
    <xf numFmtId="0" fontId="14" fillId="0" borderId="0" xfId="0" applyFont="1"/>
    <xf numFmtId="0" fontId="16" fillId="0" borderId="0" xfId="0" applyFont="1"/>
    <xf numFmtId="0" fontId="16" fillId="0" borderId="0" xfId="0" applyFont="1" applyAlignment="1">
      <alignment horizontal="center"/>
    </xf>
    <xf numFmtId="0" fontId="13" fillId="0" borderId="0" xfId="0" applyFont="1" applyAlignment="1">
      <alignment vertical="center"/>
    </xf>
    <xf numFmtId="0" fontId="15" fillId="0" borderId="0" xfId="0" applyFont="1"/>
    <xf numFmtId="0" fontId="17" fillId="6" borderId="3" xfId="0" applyFont="1" applyFill="1" applyBorder="1"/>
    <xf numFmtId="0" fontId="18" fillId="6" borderId="3" xfId="0" applyFont="1" applyFill="1" applyBorder="1" applyAlignment="1">
      <alignment horizontal="center" wrapText="1"/>
    </xf>
    <xf numFmtId="0" fontId="18" fillId="5" borderId="3" xfId="0" applyFont="1" applyFill="1" applyBorder="1"/>
    <xf numFmtId="0" fontId="19" fillId="0" borderId="3" xfId="0" applyFont="1" applyBorder="1" applyAlignment="1">
      <alignment wrapText="1"/>
    </xf>
    <xf numFmtId="0" fontId="16" fillId="0" borderId="3" xfId="0" applyFont="1" applyBorder="1"/>
    <xf numFmtId="0" fontId="13" fillId="0" borderId="3" xfId="0" applyFont="1" applyBorder="1"/>
    <xf numFmtId="0" fontId="3" fillId="4" borderId="3" xfId="0" applyFont="1" applyFill="1" applyBorder="1"/>
    <xf numFmtId="0" fontId="10" fillId="4" borderId="3" xfId="0" applyFont="1" applyFill="1" applyBorder="1"/>
    <xf numFmtId="0" fontId="13" fillId="4" borderId="3" xfId="0" applyFont="1" applyFill="1" applyBorder="1"/>
    <xf numFmtId="0" fontId="3" fillId="0" borderId="3" xfId="0" applyFont="1" applyBorder="1"/>
    <xf numFmtId="0" fontId="18" fillId="5" borderId="3" xfId="0" applyFont="1" applyFill="1" applyBorder="1" applyAlignment="1">
      <alignment wrapText="1"/>
    </xf>
    <xf numFmtId="0" fontId="16" fillId="0" borderId="3" xfId="0" applyFont="1" applyBorder="1" applyAlignment="1">
      <alignment wrapText="1"/>
    </xf>
    <xf numFmtId="0" fontId="16" fillId="2" borderId="3" xfId="0" applyFont="1" applyFill="1" applyBorder="1"/>
    <xf numFmtId="0" fontId="3" fillId="2" borderId="3" xfId="0" applyFont="1" applyFill="1" applyBorder="1"/>
    <xf numFmtId="0" fontId="10" fillId="2" borderId="3" xfId="0" applyFont="1" applyFill="1" applyBorder="1"/>
    <xf numFmtId="0" fontId="18" fillId="2" borderId="3" xfId="0" applyFont="1" applyFill="1" applyBorder="1"/>
    <xf numFmtId="0" fontId="20" fillId="0" borderId="0" xfId="0" applyFont="1"/>
    <xf numFmtId="0" fontId="20" fillId="0" borderId="3" xfId="0" applyFont="1" applyBorder="1"/>
    <xf numFmtId="0" fontId="10" fillId="0" borderId="3" xfId="0" applyFont="1" applyBorder="1"/>
    <xf numFmtId="0" fontId="16" fillId="7" borderId="3" xfId="0" applyFont="1" applyFill="1" applyBorder="1" applyAlignment="1">
      <alignment wrapText="1"/>
    </xf>
    <xf numFmtId="0" fontId="18" fillId="7" borderId="3" xfId="0" applyFont="1" applyFill="1" applyBorder="1"/>
    <xf numFmtId="0" fontId="16" fillId="7"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externalLink" Target="externalLinks/externalLink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1-EmpaPackme/7.%20LCA/Final_version/Citrus_LCI_220928_cle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supply chain &amp; choices"/>
      <sheetName val="refs."/>
      <sheetName val="LCI_synthesis"/>
      <sheetName val="1. cultivation"/>
      <sheetName val="2. packaging &amp; palletization"/>
      <sheetName val="3. pre-cooling"/>
      <sheetName val="4. oversea transport"/>
      <sheetName val="5. storage"/>
      <sheetName val="6. retail"/>
      <sheetName val="7. consumption"/>
      <sheetName val="LCI parameters"/>
      <sheetName val="SimaPro_LCIA"/>
      <sheetName val="Graphs_report_1"/>
      <sheetName val="Graphs_report_2"/>
      <sheetName val="MNBU0072637"/>
      <sheetName val="FAOSTAT_data_exports_en2016-20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ower.larc.nasa.gov/data-access-viewer/" TargetMode="External"/><Relationship Id="rId2" Type="http://schemas.openxmlformats.org/officeDocument/2006/relationships/hyperlink" Target="https://www.engineeringtoolbox.com/specific-heat-capacity-food-d_295.html" TargetMode="External"/><Relationship Id="rId1" Type="http://schemas.openxmlformats.org/officeDocument/2006/relationships/hyperlink" Target="https://swissbatt24.ch/versorgungsbatterien/lithium-batterien/2087/acconic-a100d-lifepo4-12v-lithium-versorgungsbatterie-100ah-din?gclid=CjwKCAjw15eqBhBZEiwAbDomEizc-H1IALFzdUapZqSKIZdQDlhiWSjbZFa2566yfS-hQjKcZ3JmBxoC8XQQAvD_Bw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K999"/>
  <sheetViews>
    <sheetView workbookViewId="0"/>
  </sheetViews>
  <sheetFormatPr defaultColWidth="14.3984375" defaultRowHeight="15" customHeight="1"/>
  <cols>
    <col min="1" max="26" width="9" customWidth="1"/>
  </cols>
  <sheetData>
    <row r="1" spans="1:11" ht="13.5" customHeight="1">
      <c r="A1" s="1" t="s">
        <v>0</v>
      </c>
      <c r="H1" s="2"/>
      <c r="I1" s="2"/>
      <c r="J1" s="2"/>
      <c r="K1" s="2"/>
    </row>
    <row r="2" spans="1:11" ht="13.5" customHeight="1">
      <c r="A2" s="3" t="s">
        <v>1</v>
      </c>
      <c r="H2" s="2"/>
      <c r="I2" s="2"/>
      <c r="J2" s="2"/>
      <c r="K2" s="2"/>
    </row>
    <row r="3" spans="1:11" ht="13.5" customHeight="1"/>
    <row r="4" spans="1:11" ht="13.5" customHeight="1">
      <c r="A4" s="1" t="s">
        <v>2</v>
      </c>
    </row>
    <row r="5" spans="1:11" ht="13.5" customHeight="1">
      <c r="A5" s="3" t="s">
        <v>3</v>
      </c>
    </row>
    <row r="6" spans="1:11" ht="13.5" customHeight="1"/>
    <row r="7" spans="1:11" ht="13.5" customHeight="1">
      <c r="A7" s="1" t="s">
        <v>4</v>
      </c>
    </row>
    <row r="8" spans="1:11" ht="13.5" customHeight="1">
      <c r="A8" s="3" t="s">
        <v>5</v>
      </c>
    </row>
    <row r="9" spans="1:11" ht="13.5" customHeight="1"/>
    <row r="10" spans="1:11" ht="13.5" customHeight="1"/>
    <row r="11" spans="1:11" ht="13.5" customHeight="1">
      <c r="A11" s="4" t="s">
        <v>6</v>
      </c>
    </row>
    <row r="12" spans="1:11" ht="13.5" customHeight="1"/>
    <row r="13" spans="1:11" ht="13.5" customHeight="1">
      <c r="A13" s="5" t="s">
        <v>7</v>
      </c>
    </row>
    <row r="14" spans="1:11" ht="13.5" customHeight="1">
      <c r="A14" s="5" t="s">
        <v>8</v>
      </c>
    </row>
    <row r="15" spans="1:11" ht="13.5" customHeight="1"/>
    <row r="16" spans="1:11" ht="13.5" customHeight="1">
      <c r="A16" s="1" t="s">
        <v>9</v>
      </c>
    </row>
    <row r="17" spans="1:1" ht="13.5" customHeight="1">
      <c r="A17" s="3" t="s">
        <v>10</v>
      </c>
    </row>
    <row r="18" spans="1:1" ht="13.5" customHeight="1">
      <c r="A18" s="3" t="s">
        <v>11</v>
      </c>
    </row>
    <row r="19" spans="1:1" ht="13.5" customHeight="1"/>
    <row r="20" spans="1:1" ht="13.5" customHeight="1"/>
    <row r="21" spans="1:1" ht="13.5" customHeight="1"/>
    <row r="22" spans="1:1" ht="13.5" customHeight="1"/>
    <row r="23" spans="1:1" ht="13.5" customHeight="1"/>
    <row r="24" spans="1:1" ht="13.5" customHeight="1"/>
    <row r="25" spans="1:1" ht="13.5" customHeight="1"/>
    <row r="26" spans="1:1" ht="13.5" customHeight="1"/>
    <row r="27" spans="1:1" ht="13.5" customHeight="1"/>
    <row r="28" spans="1:1" ht="13.5" customHeight="1"/>
    <row r="29" spans="1:1" ht="13.5" customHeight="1"/>
    <row r="30" spans="1:1" ht="13.5" customHeight="1"/>
    <row r="31" spans="1:1" ht="13.5" customHeight="1"/>
    <row r="32" spans="1:1"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Z1000"/>
  <sheetViews>
    <sheetView tabSelected="1" workbookViewId="0"/>
  </sheetViews>
  <sheetFormatPr defaultColWidth="14.3984375" defaultRowHeight="15" customHeight="1"/>
  <cols>
    <col min="1" max="1" width="32.1328125" customWidth="1"/>
    <col min="2" max="2" width="41.53125" customWidth="1"/>
    <col min="3" max="3" width="14" customWidth="1"/>
    <col min="4" max="4" width="20.3984375" customWidth="1"/>
    <col min="5" max="5" width="94.86328125" customWidth="1"/>
    <col min="6" max="26" width="9" customWidth="1"/>
  </cols>
  <sheetData>
    <row r="1" spans="1:6" ht="31.5" customHeight="1">
      <c r="A1" s="6" t="s">
        <v>12</v>
      </c>
      <c r="B1" s="7" t="s">
        <v>13</v>
      </c>
      <c r="C1" s="8"/>
      <c r="D1" s="9"/>
      <c r="E1" s="10"/>
      <c r="F1" s="11"/>
    </row>
    <row r="2" spans="1:6" ht="13.5" customHeight="1">
      <c r="B2" s="12" t="s">
        <v>14</v>
      </c>
      <c r="C2" s="13" t="s">
        <v>15</v>
      </c>
      <c r="D2" s="14" t="s">
        <v>16</v>
      </c>
      <c r="E2" s="12" t="s">
        <v>17</v>
      </c>
      <c r="F2" s="15" t="s">
        <v>18</v>
      </c>
    </row>
    <row r="3" spans="1:6" ht="13.5" customHeight="1">
      <c r="B3" s="16" t="s">
        <v>19</v>
      </c>
      <c r="C3" s="16" t="s">
        <v>20</v>
      </c>
      <c r="D3" s="17">
        <v>10.65</v>
      </c>
      <c r="E3" s="18" t="s">
        <v>21</v>
      </c>
    </row>
    <row r="4" spans="1:6" ht="13.5" customHeight="1">
      <c r="A4" s="1"/>
      <c r="B4" s="16" t="s">
        <v>22</v>
      </c>
      <c r="C4" s="16"/>
      <c r="D4" s="17" t="s">
        <v>23</v>
      </c>
      <c r="E4" s="18" t="s">
        <v>24</v>
      </c>
    </row>
    <row r="5" spans="1:6" ht="13.5" customHeight="1">
      <c r="A5" s="4" t="s">
        <v>25</v>
      </c>
      <c r="B5" s="16" t="s">
        <v>26</v>
      </c>
      <c r="C5" s="16" t="s">
        <v>27</v>
      </c>
      <c r="D5" s="17">
        <v>100</v>
      </c>
      <c r="E5" s="16"/>
    </row>
    <row r="6" spans="1:6" ht="13.5" customHeight="1">
      <c r="A6" s="19"/>
      <c r="B6" s="16" t="s">
        <v>28</v>
      </c>
      <c r="C6" s="16" t="s">
        <v>27</v>
      </c>
      <c r="D6" s="17">
        <v>100</v>
      </c>
      <c r="E6" s="16"/>
    </row>
    <row r="7" spans="1:6" ht="13.5" customHeight="1">
      <c r="B7" s="16" t="s">
        <v>29</v>
      </c>
      <c r="C7" s="16" t="s">
        <v>30</v>
      </c>
      <c r="D7" s="17">
        <v>4.18</v>
      </c>
      <c r="E7" s="16"/>
    </row>
    <row r="8" spans="1:6" ht="13.5" customHeight="1">
      <c r="B8" s="16" t="s">
        <v>31</v>
      </c>
      <c r="C8" s="16"/>
      <c r="D8" s="17" t="s">
        <v>32</v>
      </c>
      <c r="E8" s="16" t="s">
        <v>33</v>
      </c>
    </row>
    <row r="9" spans="1:6" ht="13.5" customHeight="1">
      <c r="B9" s="16" t="s">
        <v>34</v>
      </c>
      <c r="C9" s="16"/>
      <c r="D9" s="17">
        <v>1</v>
      </c>
      <c r="E9" s="20" t="s">
        <v>35</v>
      </c>
    </row>
    <row r="10" spans="1:6" ht="13.5" customHeight="1">
      <c r="B10" s="16" t="s">
        <v>36</v>
      </c>
      <c r="C10" s="16" t="s">
        <v>37</v>
      </c>
      <c r="D10" s="17">
        <v>0.01</v>
      </c>
      <c r="E10" s="16" t="s">
        <v>38</v>
      </c>
    </row>
    <row r="11" spans="1:6" ht="13.5" customHeight="1">
      <c r="A11" s="1" t="s">
        <v>39</v>
      </c>
      <c r="B11" s="16" t="s">
        <v>40</v>
      </c>
      <c r="C11" s="16" t="s">
        <v>41</v>
      </c>
      <c r="D11" s="17">
        <v>100</v>
      </c>
      <c r="E11" s="16" t="s">
        <v>42</v>
      </c>
    </row>
    <row r="12" spans="1:6" ht="13.5" customHeight="1">
      <c r="A12" s="1"/>
      <c r="B12" s="16" t="s">
        <v>43</v>
      </c>
      <c r="C12" s="16" t="s">
        <v>44</v>
      </c>
      <c r="D12" s="17">
        <v>10</v>
      </c>
      <c r="E12" s="16" t="s">
        <v>45</v>
      </c>
    </row>
    <row r="13" spans="1:6" ht="13.5" customHeight="1">
      <c r="B13" s="16" t="s">
        <v>46</v>
      </c>
      <c r="C13" s="16" t="s">
        <v>47</v>
      </c>
      <c r="D13" s="17">
        <v>15</v>
      </c>
      <c r="E13" s="16" t="s">
        <v>48</v>
      </c>
    </row>
    <row r="14" spans="1:6" ht="13.5" customHeight="1">
      <c r="B14" s="16" t="s">
        <v>49</v>
      </c>
      <c r="C14" s="16" t="s">
        <v>27</v>
      </c>
      <c r="D14" s="17">
        <v>11.1</v>
      </c>
      <c r="E14" s="21" t="s">
        <v>50</v>
      </c>
      <c r="F14" s="22" t="s">
        <v>51</v>
      </c>
    </row>
    <row r="15" spans="1:6" ht="13.5" customHeight="1">
      <c r="A15" s="4" t="s">
        <v>52</v>
      </c>
      <c r="B15" s="16"/>
      <c r="C15" s="16"/>
      <c r="D15" s="17"/>
      <c r="E15" s="16"/>
    </row>
    <row r="16" spans="1:6" ht="13.5" customHeight="1">
      <c r="B16" s="16" t="s">
        <v>53</v>
      </c>
      <c r="C16" s="16"/>
      <c r="D16" s="17" t="s">
        <v>54</v>
      </c>
      <c r="E16" s="16" t="s">
        <v>55</v>
      </c>
    </row>
    <row r="17" spans="1:6" ht="13.5" customHeight="1">
      <c r="B17" s="23" t="s">
        <v>56</v>
      </c>
      <c r="C17" s="23" t="s">
        <v>57</v>
      </c>
      <c r="D17" s="24">
        <v>1.96</v>
      </c>
      <c r="E17" s="25" t="s">
        <v>58</v>
      </c>
    </row>
    <row r="18" spans="1:6" ht="13.5" customHeight="1">
      <c r="B18" s="23" t="s">
        <v>59</v>
      </c>
      <c r="C18" s="23" t="s">
        <v>57</v>
      </c>
      <c r="D18" s="24">
        <v>1.96</v>
      </c>
      <c r="E18" s="25" t="s">
        <v>60</v>
      </c>
    </row>
    <row r="19" spans="1:6" ht="13.5" customHeight="1">
      <c r="B19" s="23" t="s">
        <v>61</v>
      </c>
      <c r="C19" s="23" t="s">
        <v>57</v>
      </c>
      <c r="D19" s="24">
        <v>1.96</v>
      </c>
      <c r="E19" s="25" t="s">
        <v>62</v>
      </c>
    </row>
    <row r="20" spans="1:6" ht="13.5" customHeight="1">
      <c r="B20" s="16" t="s">
        <v>63</v>
      </c>
      <c r="C20" s="16" t="s">
        <v>64</v>
      </c>
      <c r="D20" s="17">
        <v>1.96</v>
      </c>
      <c r="E20" s="25" t="s">
        <v>65</v>
      </c>
    </row>
    <row r="21" spans="1:6" ht="13.5" customHeight="1">
      <c r="B21" s="16" t="s">
        <v>66</v>
      </c>
      <c r="C21" s="16" t="s">
        <v>27</v>
      </c>
      <c r="D21" s="17">
        <f>150*0.25</f>
        <v>37.5</v>
      </c>
      <c r="E21" s="26" t="s">
        <v>67</v>
      </c>
    </row>
    <row r="22" spans="1:6" ht="13.5" customHeight="1">
      <c r="B22" s="16" t="s">
        <v>68</v>
      </c>
      <c r="C22" s="16" t="s">
        <v>27</v>
      </c>
      <c r="D22" s="27">
        <v>25</v>
      </c>
      <c r="E22" s="26" t="s">
        <v>69</v>
      </c>
    </row>
    <row r="23" spans="1:6" ht="13.5" customHeight="1">
      <c r="A23" s="1" t="s">
        <v>70</v>
      </c>
      <c r="B23" s="16" t="s">
        <v>71</v>
      </c>
      <c r="C23" s="16" t="s">
        <v>27</v>
      </c>
      <c r="D23" s="28">
        <f>D22-D20</f>
        <v>23.04</v>
      </c>
      <c r="E23" s="16" t="s">
        <v>72</v>
      </c>
    </row>
    <row r="24" spans="1:6" ht="13.5" customHeight="1">
      <c r="A24" s="1"/>
      <c r="B24" s="16" t="s">
        <v>73</v>
      </c>
      <c r="C24" s="16" t="s">
        <v>27</v>
      </c>
      <c r="D24" s="17">
        <v>5</v>
      </c>
      <c r="E24" s="26" t="s">
        <v>74</v>
      </c>
    </row>
    <row r="25" spans="1:6" ht="13.5" customHeight="1">
      <c r="A25" s="1"/>
      <c r="B25" s="16" t="s">
        <v>75</v>
      </c>
      <c r="C25" s="16" t="s">
        <v>30</v>
      </c>
      <c r="D25" s="27">
        <v>3.86</v>
      </c>
      <c r="E25" s="18" t="s">
        <v>76</v>
      </c>
      <c r="F25" s="29" t="s">
        <v>77</v>
      </c>
    </row>
    <row r="26" spans="1:6" ht="13.5" customHeight="1">
      <c r="A26" s="1"/>
      <c r="B26" s="16" t="s">
        <v>78</v>
      </c>
      <c r="C26" s="16" t="s">
        <v>79</v>
      </c>
      <c r="D26" s="27">
        <v>3</v>
      </c>
      <c r="E26" s="30" t="s">
        <v>80</v>
      </c>
    </row>
    <row r="27" spans="1:6" ht="13.5" customHeight="1">
      <c r="A27" s="1"/>
      <c r="B27" s="16" t="s">
        <v>81</v>
      </c>
      <c r="C27" s="16" t="s">
        <v>79</v>
      </c>
      <c r="D27" s="27">
        <v>2</v>
      </c>
      <c r="E27" s="30" t="s">
        <v>82</v>
      </c>
    </row>
    <row r="28" spans="1:6" ht="13.5" customHeight="1">
      <c r="B28" s="16" t="s">
        <v>83</v>
      </c>
      <c r="C28" s="16" t="s">
        <v>79</v>
      </c>
      <c r="D28" s="27">
        <v>3</v>
      </c>
      <c r="E28" s="30" t="s">
        <v>84</v>
      </c>
    </row>
    <row r="29" spans="1:6" ht="13.5" customHeight="1">
      <c r="B29" s="16" t="s">
        <v>85</v>
      </c>
      <c r="C29" s="16" t="s">
        <v>27</v>
      </c>
      <c r="D29" s="17">
        <f>D26*D27*D28*66.7</f>
        <v>1200.6000000000001</v>
      </c>
      <c r="E29" s="31" t="s">
        <v>86</v>
      </c>
    </row>
    <row r="30" spans="1:6" ht="13.5" customHeight="1">
      <c r="B30" s="16" t="s">
        <v>87</v>
      </c>
      <c r="C30" s="16" t="s">
        <v>27</v>
      </c>
      <c r="D30" s="17">
        <f>(D21*D22)+D29</f>
        <v>2138.1000000000004</v>
      </c>
      <c r="E30" s="26" t="s">
        <v>88</v>
      </c>
    </row>
    <row r="31" spans="1:6" ht="13.5" customHeight="1">
      <c r="A31" s="32"/>
      <c r="B31" s="16" t="s">
        <v>89</v>
      </c>
      <c r="C31" s="16" t="s">
        <v>90</v>
      </c>
      <c r="D31" s="17">
        <v>30</v>
      </c>
      <c r="E31" s="33" t="s">
        <v>91</v>
      </c>
    </row>
    <row r="32" spans="1:6" ht="13.5" customHeight="1">
      <c r="B32" s="16" t="s">
        <v>92</v>
      </c>
      <c r="C32" s="16" t="s">
        <v>90</v>
      </c>
      <c r="D32" s="17">
        <v>30</v>
      </c>
      <c r="E32" s="26" t="s">
        <v>93</v>
      </c>
    </row>
    <row r="33" spans="1:26" ht="13.5" customHeight="1">
      <c r="B33" s="16" t="s">
        <v>94</v>
      </c>
      <c r="C33" s="16" t="s">
        <v>90</v>
      </c>
      <c r="D33" s="17">
        <v>5</v>
      </c>
      <c r="E33" s="26" t="s">
        <v>95</v>
      </c>
    </row>
    <row r="34" spans="1:26" ht="13.5" customHeight="1">
      <c r="B34" s="16" t="s">
        <v>96</v>
      </c>
      <c r="C34" s="16" t="s">
        <v>90</v>
      </c>
      <c r="D34" s="17">
        <v>3.5</v>
      </c>
      <c r="E34" s="26" t="s">
        <v>97</v>
      </c>
    </row>
    <row r="35" spans="1:26" ht="13.5" customHeight="1">
      <c r="B35" s="16" t="s">
        <v>98</v>
      </c>
      <c r="C35" s="16" t="s">
        <v>90</v>
      </c>
      <c r="D35" s="17">
        <v>8</v>
      </c>
      <c r="E35" s="26" t="s">
        <v>99</v>
      </c>
    </row>
    <row r="36" spans="1:26" ht="13.5" customHeight="1">
      <c r="B36" s="16" t="s">
        <v>100</v>
      </c>
      <c r="C36" s="16" t="s">
        <v>101</v>
      </c>
      <c r="D36" s="17">
        <v>1</v>
      </c>
      <c r="E36" s="26" t="s">
        <v>102</v>
      </c>
    </row>
    <row r="37" spans="1:26" ht="13.5" customHeight="1">
      <c r="B37" s="16" t="s">
        <v>103</v>
      </c>
      <c r="C37" s="16" t="s">
        <v>101</v>
      </c>
      <c r="D37" s="17">
        <v>0.96</v>
      </c>
      <c r="E37" s="18" t="s">
        <v>104</v>
      </c>
    </row>
    <row r="38" spans="1:26" ht="13.5" customHeight="1">
      <c r="B38" s="16" t="s">
        <v>105</v>
      </c>
      <c r="C38" s="16"/>
      <c r="D38" s="17">
        <f>(D22*D21*1)*D25*(D32-D33)/(D3*3600*1)</f>
        <v>2.3596439749608762</v>
      </c>
      <c r="E38" s="18" t="s">
        <v>106</v>
      </c>
    </row>
    <row r="39" spans="1:26" ht="13.5" customHeight="1">
      <c r="B39" s="16" t="s">
        <v>107</v>
      </c>
      <c r="C39" s="16"/>
      <c r="D39" s="17">
        <f>(D6*1)*D7*(D32-0)/(D3*3600*1)</f>
        <v>0.3270735524256651</v>
      </c>
      <c r="E39" s="18" t="s">
        <v>108</v>
      </c>
    </row>
    <row r="40" spans="1:26" ht="13.5" customHeight="1">
      <c r="B40" s="16" t="s">
        <v>109</v>
      </c>
      <c r="C40" s="23" t="s">
        <v>110</v>
      </c>
      <c r="D40" s="17">
        <f>(D23*D21*D25*(D32-D33))/(D23*D21)</f>
        <v>96.5</v>
      </c>
      <c r="E40" s="23" t="s">
        <v>111</v>
      </c>
    </row>
    <row r="41" spans="1:26" ht="13.5" customHeight="1">
      <c r="B41" s="16" t="s">
        <v>112</v>
      </c>
      <c r="C41" s="23" t="s">
        <v>113</v>
      </c>
      <c r="D41" s="17">
        <f>(D9*D13*3600*24*0.8)/(D23*D21)</f>
        <v>1200</v>
      </c>
      <c r="E41" s="18" t="s">
        <v>114</v>
      </c>
      <c r="F41" s="34"/>
      <c r="G41" s="34"/>
      <c r="H41" s="34"/>
      <c r="I41" s="34"/>
      <c r="J41" s="34"/>
      <c r="K41" s="34"/>
      <c r="L41" s="34"/>
      <c r="M41" s="34"/>
      <c r="N41" s="34"/>
      <c r="O41" s="34"/>
      <c r="P41" s="34"/>
      <c r="Q41" s="34"/>
      <c r="R41" s="34"/>
      <c r="S41" s="34"/>
      <c r="T41" s="34"/>
      <c r="U41" s="34"/>
      <c r="V41" s="34"/>
      <c r="W41" s="34"/>
      <c r="X41" s="34"/>
      <c r="Y41" s="34"/>
      <c r="Z41" s="34"/>
    </row>
    <row r="42" spans="1:26" ht="13.5" customHeight="1">
      <c r="B42" s="16" t="s">
        <v>115</v>
      </c>
      <c r="C42" s="23" t="s">
        <v>113</v>
      </c>
      <c r="D42" s="17">
        <f>(D6*D7*(D32-0))/(D23*D21)</f>
        <v>14.513888888888889</v>
      </c>
      <c r="E42" s="23" t="s">
        <v>116</v>
      </c>
    </row>
    <row r="43" spans="1:26" ht="13.5" customHeight="1">
      <c r="A43" s="35" t="s">
        <v>117</v>
      </c>
      <c r="B43" s="36" t="s">
        <v>118</v>
      </c>
      <c r="C43" s="37" t="s">
        <v>119</v>
      </c>
      <c r="D43" s="38">
        <f>D40/D38/1000/3.6</f>
        <v>1.136E-2</v>
      </c>
      <c r="E43" s="23" t="s">
        <v>120</v>
      </c>
    </row>
    <row r="44" spans="1:26" ht="13.5" customHeight="1">
      <c r="B44" s="36" t="s">
        <v>121</v>
      </c>
      <c r="C44" s="37" t="s">
        <v>119</v>
      </c>
      <c r="D44" s="38">
        <f>D41/0.9/1000/3.6</f>
        <v>0.37037037037037035</v>
      </c>
      <c r="E44" s="23" t="s">
        <v>122</v>
      </c>
      <c r="F44" s="39"/>
    </row>
    <row r="45" spans="1:26" ht="13.5" customHeight="1">
      <c r="B45" s="36" t="s">
        <v>123</v>
      </c>
      <c r="C45" s="37" t="s">
        <v>119</v>
      </c>
      <c r="D45" s="38">
        <f>D42/D39/1000/3.6</f>
        <v>1.2326388888888888E-2</v>
      </c>
      <c r="E45" s="18" t="s">
        <v>124</v>
      </c>
    </row>
    <row r="46" spans="1:26" ht="13.5" customHeight="1">
      <c r="B46" s="40" t="s">
        <v>125</v>
      </c>
      <c r="C46" s="41" t="s">
        <v>126</v>
      </c>
      <c r="D46" s="42">
        <f>((0.0696*D31+0.9691)*(D26*D27*D28))/40</f>
        <v>1.3756949999999999</v>
      </c>
      <c r="E46" s="23" t="s">
        <v>127</v>
      </c>
    </row>
    <row r="47" spans="1:26" ht="13.5" customHeight="1">
      <c r="B47" s="36" t="s">
        <v>128</v>
      </c>
      <c r="C47" s="37" t="s">
        <v>119</v>
      </c>
      <c r="D47" s="38">
        <f>(D46*(D36-D37)*24*3600)/1000/(D23*D21)/3.6</f>
        <v>1.5285500000000013E-3</v>
      </c>
      <c r="E47" s="18" t="s">
        <v>129</v>
      </c>
    </row>
    <row r="48" spans="1:26" ht="13.5" customHeight="1">
      <c r="B48" s="16" t="s">
        <v>130</v>
      </c>
      <c r="C48" s="23"/>
      <c r="D48" s="17" t="s">
        <v>131</v>
      </c>
      <c r="E48" s="23" t="s">
        <v>132</v>
      </c>
    </row>
    <row r="49" spans="2:6" ht="13.5" customHeight="1">
      <c r="B49" s="40" t="s">
        <v>133</v>
      </c>
      <c r="C49" s="40" t="s">
        <v>27</v>
      </c>
      <c r="D49" s="43">
        <f>0.38/(D22*D21)</f>
        <v>4.0533333333333334E-4</v>
      </c>
      <c r="E49" s="16" t="s">
        <v>134</v>
      </c>
    </row>
    <row r="50" spans="2:6" ht="13.5" customHeight="1">
      <c r="B50" s="37" t="s">
        <v>135</v>
      </c>
      <c r="C50" s="37" t="s">
        <v>136</v>
      </c>
      <c r="D50" s="44">
        <f>((D49*0.1*D36)/365)/(D21*D23)</f>
        <v>1.2853035684085912E-10</v>
      </c>
      <c r="E50" s="45" t="s">
        <v>137</v>
      </c>
    </row>
    <row r="51" spans="2:6" ht="13.5" customHeight="1">
      <c r="B51" s="36" t="s">
        <v>138</v>
      </c>
      <c r="C51" s="36" t="s">
        <v>136</v>
      </c>
      <c r="D51" s="38">
        <f>(0.07*(D21*D23))/(D21*D23)</f>
        <v>7.0000000000000007E-2</v>
      </c>
      <c r="E51" s="26" t="s">
        <v>139</v>
      </c>
    </row>
    <row r="52" spans="2:6" ht="13.5" customHeight="1">
      <c r="B52" s="36" t="s">
        <v>140</v>
      </c>
      <c r="C52" s="36" t="s">
        <v>136</v>
      </c>
      <c r="D52" s="38">
        <f>(0.5*(D21*D23))/(D21*D23)</f>
        <v>0.5</v>
      </c>
      <c r="E52" s="18" t="s">
        <v>141</v>
      </c>
    </row>
    <row r="53" spans="2:6" ht="13.5" customHeight="1">
      <c r="B53" s="36" t="s">
        <v>142</v>
      </c>
      <c r="C53" s="36" t="s">
        <v>136</v>
      </c>
      <c r="D53" s="38">
        <f>(0.01*((D21*D23)-D51)/30/24)/(D21*D23)</f>
        <v>1.3887763631687241E-5</v>
      </c>
      <c r="E53" s="46" t="s">
        <v>143</v>
      </c>
    </row>
    <row r="54" spans="2:6" ht="13.5" customHeight="1">
      <c r="B54" s="20"/>
      <c r="C54" s="20"/>
      <c r="D54" s="47"/>
      <c r="E54" s="20"/>
    </row>
    <row r="55" spans="2:6" ht="13.5" customHeight="1">
      <c r="D55" s="48"/>
    </row>
    <row r="56" spans="2:6" ht="13.5" customHeight="1">
      <c r="D56" s="48"/>
    </row>
    <row r="57" spans="2:6" ht="13.5" customHeight="1">
      <c r="D57" s="48"/>
      <c r="F57" s="49"/>
    </row>
    <row r="58" spans="2:6" ht="13.5" customHeight="1">
      <c r="D58" s="48"/>
    </row>
    <row r="59" spans="2:6" ht="13.5" customHeight="1">
      <c r="D59" s="48"/>
    </row>
    <row r="60" spans="2:6" ht="13.5" customHeight="1">
      <c r="D60" s="48"/>
    </row>
    <row r="61" spans="2:6" ht="13.5" customHeight="1">
      <c r="D61" s="50"/>
      <c r="E61" s="51"/>
    </row>
    <row r="62" spans="2:6" ht="13.5" customHeight="1">
      <c r="D62" s="50"/>
      <c r="E62" s="51"/>
    </row>
    <row r="63" spans="2:6" ht="13.5" customHeight="1">
      <c r="D63" s="52"/>
      <c r="E63" s="51"/>
    </row>
    <row r="64" spans="2:6" ht="13.5" customHeight="1">
      <c r="D64" s="52"/>
      <c r="E64" s="51"/>
    </row>
    <row r="65" spans="2:5" ht="13.5" customHeight="1">
      <c r="D65" s="52"/>
      <c r="E65" s="51"/>
    </row>
    <row r="66" spans="2:5" ht="13.5" customHeight="1">
      <c r="D66" s="50"/>
      <c r="E66" s="51"/>
    </row>
    <row r="67" spans="2:5" ht="13.5" customHeight="1">
      <c r="D67" s="53"/>
      <c r="E67" s="51"/>
    </row>
    <row r="68" spans="2:5" ht="13.5" customHeight="1">
      <c r="D68" s="54"/>
      <c r="E68" s="51"/>
    </row>
    <row r="69" spans="2:5" ht="13.5" customHeight="1">
      <c r="B69" s="51"/>
      <c r="C69" s="51"/>
      <c r="D69" s="50"/>
      <c r="E69" s="51"/>
    </row>
    <row r="70" spans="2:5" ht="13.5" customHeight="1">
      <c r="B70" s="51"/>
      <c r="C70" s="51"/>
      <c r="D70" s="50"/>
      <c r="E70" s="51"/>
    </row>
    <row r="71" spans="2:5" ht="13.5" customHeight="1">
      <c r="B71" s="51"/>
      <c r="C71" s="51"/>
      <c r="D71" s="55"/>
      <c r="E71" s="51"/>
    </row>
    <row r="72" spans="2:5" ht="13.5" customHeight="1">
      <c r="B72" s="51"/>
      <c r="C72" s="51"/>
      <c r="D72" s="50"/>
      <c r="E72" s="51"/>
    </row>
    <row r="73" spans="2:5" ht="13.5" customHeight="1">
      <c r="B73" s="51"/>
      <c r="C73" s="51"/>
      <c r="D73" s="50"/>
      <c r="E73" s="51"/>
    </row>
    <row r="74" spans="2:5" ht="13.5" customHeight="1">
      <c r="B74" s="51"/>
      <c r="C74" s="51"/>
      <c r="D74" s="50"/>
    </row>
    <row r="75" spans="2:5" ht="13.5" customHeight="1">
      <c r="B75" s="51"/>
      <c r="C75" s="51"/>
      <c r="D75" s="50"/>
      <c r="E75" s="51"/>
    </row>
    <row r="76" spans="2:5" ht="13.5" customHeight="1">
      <c r="B76" s="51"/>
      <c r="C76" s="51"/>
      <c r="D76" s="50"/>
      <c r="E76" s="51"/>
    </row>
    <row r="77" spans="2:5" ht="13.5" customHeight="1">
      <c r="B77" s="56"/>
      <c r="C77" s="56"/>
      <c r="D77" s="50"/>
      <c r="E77" s="51"/>
    </row>
    <row r="78" spans="2:5" ht="13.5" customHeight="1">
      <c r="B78" s="57"/>
      <c r="C78" s="57"/>
      <c r="D78" s="58"/>
      <c r="E78" s="57"/>
    </row>
    <row r="79" spans="2:5" ht="13.5" customHeight="1">
      <c r="B79" s="51"/>
      <c r="C79" s="51"/>
      <c r="D79" s="50"/>
      <c r="E79" s="51"/>
    </row>
    <row r="80" spans="2:5" ht="13.5" customHeight="1">
      <c r="B80" s="51"/>
      <c r="C80" s="51"/>
      <c r="D80" s="50"/>
      <c r="E80" s="51"/>
    </row>
    <row r="81" spans="2:5" ht="13.5" customHeight="1">
      <c r="B81" s="51"/>
      <c r="C81" s="51"/>
      <c r="D81" s="52"/>
      <c r="E81" s="51"/>
    </row>
    <row r="82" spans="2:5" ht="13.5" customHeight="1">
      <c r="B82" s="51"/>
      <c r="C82" s="51"/>
      <c r="D82" s="52"/>
      <c r="E82" s="51"/>
    </row>
    <row r="83" spans="2:5" ht="13.5" customHeight="1">
      <c r="B83" s="51"/>
      <c r="C83" s="51"/>
      <c r="D83" s="52"/>
      <c r="E83" s="51"/>
    </row>
    <row r="84" spans="2:5" ht="13.5" customHeight="1">
      <c r="B84" s="59"/>
      <c r="C84" s="59"/>
      <c r="D84" s="52"/>
      <c r="E84" s="51"/>
    </row>
    <row r="85" spans="2:5" ht="13.5" customHeight="1">
      <c r="D85" s="48"/>
    </row>
    <row r="86" spans="2:5" ht="13.5" customHeight="1">
      <c r="D86" s="48"/>
    </row>
    <row r="87" spans="2:5" ht="13.5" customHeight="1">
      <c r="B87" s="56"/>
      <c r="C87" s="56"/>
      <c r="D87" s="53"/>
      <c r="E87" s="51"/>
    </row>
    <row r="88" spans="2:5" ht="13.5" customHeight="1">
      <c r="B88" s="60"/>
      <c r="C88" s="60"/>
      <c r="D88" s="54"/>
      <c r="E88" s="51"/>
    </row>
    <row r="89" spans="2:5" ht="13.5" customHeight="1">
      <c r="B89" s="51"/>
      <c r="C89" s="51"/>
      <c r="D89" s="50"/>
      <c r="E89" s="51"/>
    </row>
    <row r="90" spans="2:5" ht="13.5" customHeight="1">
      <c r="B90" s="51"/>
      <c r="C90" s="51"/>
      <c r="D90" s="50"/>
      <c r="E90" s="51"/>
    </row>
    <row r="91" spans="2:5" ht="13.5" customHeight="1">
      <c r="B91" s="51"/>
      <c r="C91" s="51"/>
      <c r="D91" s="55"/>
      <c r="E91" s="51"/>
    </row>
    <row r="92" spans="2:5" ht="13.5" customHeight="1">
      <c r="B92" s="51"/>
      <c r="C92" s="51"/>
      <c r="D92" s="50"/>
      <c r="E92" s="51"/>
    </row>
    <row r="93" spans="2:5" ht="13.5" customHeight="1">
      <c r="B93" s="51"/>
      <c r="C93" s="51"/>
      <c r="D93" s="50"/>
      <c r="E93" s="51"/>
    </row>
    <row r="94" spans="2:5" ht="13.5" customHeight="1">
      <c r="B94" s="51"/>
      <c r="C94" s="51"/>
      <c r="D94" s="50"/>
      <c r="E94" s="51"/>
    </row>
    <row r="95" spans="2:5" ht="13.5" customHeight="1">
      <c r="B95" s="51"/>
      <c r="C95" s="51"/>
      <c r="D95" s="50"/>
      <c r="E95" s="51"/>
    </row>
    <row r="96" spans="2:5" ht="13.5" customHeight="1">
      <c r="B96" s="51"/>
      <c r="C96" s="51"/>
      <c r="D96" s="50"/>
      <c r="E96" s="51"/>
    </row>
    <row r="97" spans="2:5" ht="13.5" customHeight="1">
      <c r="B97" s="56"/>
      <c r="C97" s="56"/>
      <c r="D97" s="50"/>
      <c r="E97" s="51"/>
    </row>
    <row r="98" spans="2:5" ht="13.5" customHeight="1">
      <c r="B98" s="57"/>
      <c r="C98" s="57"/>
      <c r="D98" s="58"/>
      <c r="E98" s="57"/>
    </row>
    <row r="99" spans="2:5" ht="13.5" customHeight="1">
      <c r="B99" s="51"/>
      <c r="C99" s="51"/>
      <c r="D99" s="50"/>
      <c r="E99" s="51"/>
    </row>
    <row r="100" spans="2:5" ht="13.5" customHeight="1">
      <c r="B100" s="51"/>
      <c r="C100" s="51"/>
      <c r="D100" s="50"/>
      <c r="E100" s="51"/>
    </row>
    <row r="101" spans="2:5" ht="13.5" customHeight="1">
      <c r="B101" s="51"/>
      <c r="C101" s="51"/>
      <c r="D101" s="52"/>
      <c r="E101" s="51"/>
    </row>
    <row r="102" spans="2:5" ht="13.5" customHeight="1">
      <c r="B102" s="51"/>
      <c r="C102" s="51"/>
      <c r="D102" s="52"/>
      <c r="E102" s="51"/>
    </row>
    <row r="103" spans="2:5" ht="13.5" customHeight="1">
      <c r="D103" s="48"/>
    </row>
    <row r="104" spans="2:5" ht="13.5" customHeight="1">
      <c r="D104" s="48"/>
    </row>
    <row r="105" spans="2:5" ht="13.5" customHeight="1">
      <c r="D105" s="48"/>
    </row>
    <row r="106" spans="2:5" ht="13.5" customHeight="1">
      <c r="D106" s="48"/>
    </row>
    <row r="107" spans="2:5" ht="13.5" customHeight="1">
      <c r="D107" s="48"/>
    </row>
    <row r="108" spans="2:5" ht="13.5" customHeight="1">
      <c r="D108" s="48"/>
    </row>
    <row r="109" spans="2:5" ht="13.5" customHeight="1">
      <c r="D109" s="48"/>
    </row>
    <row r="110" spans="2:5" ht="13.5" customHeight="1">
      <c r="D110" s="48"/>
    </row>
    <row r="111" spans="2:5" ht="13.5" customHeight="1">
      <c r="D111" s="48"/>
    </row>
    <row r="112" spans="2:5" ht="13.5" customHeight="1">
      <c r="D112" s="48"/>
    </row>
    <row r="113" spans="4:4" ht="13.5" customHeight="1">
      <c r="D113" s="48"/>
    </row>
    <row r="114" spans="4:4" ht="13.5" customHeight="1">
      <c r="D114" s="48"/>
    </row>
    <row r="115" spans="4:4" ht="13.5" customHeight="1">
      <c r="D115" s="48"/>
    </row>
    <row r="116" spans="4:4" ht="13.5" customHeight="1">
      <c r="D116" s="48"/>
    </row>
    <row r="117" spans="4:4" ht="13.5" customHeight="1">
      <c r="D117" s="48"/>
    </row>
    <row r="118" spans="4:4" ht="13.5" customHeight="1">
      <c r="D118" s="48"/>
    </row>
    <row r="119" spans="4:4" ht="13.5" customHeight="1">
      <c r="D119" s="48"/>
    </row>
    <row r="120" spans="4:4" ht="13.5" customHeight="1">
      <c r="D120" s="48"/>
    </row>
    <row r="121" spans="4:4" ht="13.5" customHeight="1">
      <c r="D121" s="48"/>
    </row>
    <row r="122" spans="4:4" ht="13.5" customHeight="1">
      <c r="D122" s="48"/>
    </row>
    <row r="123" spans="4:4" ht="13.5" customHeight="1">
      <c r="D123" s="48"/>
    </row>
    <row r="124" spans="4:4" ht="13.5" customHeight="1">
      <c r="D124" s="48"/>
    </row>
    <row r="125" spans="4:4" ht="13.5" customHeight="1">
      <c r="D125" s="48"/>
    </row>
    <row r="126" spans="4:4" ht="13.5" customHeight="1">
      <c r="D126" s="48"/>
    </row>
    <row r="127" spans="4:4" ht="13.5" customHeight="1">
      <c r="D127" s="48"/>
    </row>
    <row r="128" spans="4:4" ht="13.5" customHeight="1">
      <c r="D128" s="48"/>
    </row>
    <row r="129" spans="4:4" ht="13.5" customHeight="1">
      <c r="D129" s="48"/>
    </row>
    <row r="130" spans="4:4" ht="13.5" customHeight="1">
      <c r="D130" s="48"/>
    </row>
    <row r="131" spans="4:4" ht="13.5" customHeight="1">
      <c r="D131" s="48"/>
    </row>
    <row r="132" spans="4:4" ht="13.5" customHeight="1">
      <c r="D132" s="48"/>
    </row>
    <row r="133" spans="4:4" ht="13.5" customHeight="1">
      <c r="D133" s="48"/>
    </row>
    <row r="134" spans="4:4" ht="13.5" customHeight="1">
      <c r="D134" s="48"/>
    </row>
    <row r="135" spans="4:4" ht="13.5" customHeight="1">
      <c r="D135" s="48"/>
    </row>
    <row r="136" spans="4:4" ht="13.5" customHeight="1">
      <c r="D136" s="48"/>
    </row>
    <row r="137" spans="4:4" ht="13.5" customHeight="1">
      <c r="D137" s="48"/>
    </row>
    <row r="138" spans="4:4" ht="13.5" customHeight="1">
      <c r="D138" s="48"/>
    </row>
    <row r="139" spans="4:4" ht="13.5" customHeight="1">
      <c r="D139" s="48"/>
    </row>
    <row r="140" spans="4:4" ht="13.5" customHeight="1">
      <c r="D140" s="48"/>
    </row>
    <row r="141" spans="4:4" ht="13.5" customHeight="1">
      <c r="D141" s="48"/>
    </row>
    <row r="142" spans="4:4" ht="13.5" customHeight="1">
      <c r="D142" s="48"/>
    </row>
    <row r="143" spans="4:4" ht="13.5" customHeight="1">
      <c r="D143" s="48"/>
    </row>
    <row r="144" spans="4:4" ht="13.5" customHeight="1">
      <c r="D144" s="48"/>
    </row>
    <row r="145" spans="4:4" ht="13.5" customHeight="1">
      <c r="D145" s="48"/>
    </row>
    <row r="146" spans="4:4" ht="13.5" customHeight="1">
      <c r="D146" s="48"/>
    </row>
    <row r="147" spans="4:4" ht="13.5" customHeight="1">
      <c r="D147" s="48"/>
    </row>
    <row r="148" spans="4:4" ht="13.5" customHeight="1">
      <c r="D148" s="48"/>
    </row>
    <row r="149" spans="4:4" ht="13.5" customHeight="1">
      <c r="D149" s="48"/>
    </row>
    <row r="150" spans="4:4" ht="13.5" customHeight="1">
      <c r="D150" s="48"/>
    </row>
    <row r="151" spans="4:4" ht="13.5" customHeight="1">
      <c r="D151" s="48"/>
    </row>
    <row r="152" spans="4:4" ht="13.5" customHeight="1">
      <c r="D152" s="48"/>
    </row>
    <row r="153" spans="4:4" ht="13.5" customHeight="1">
      <c r="D153" s="48"/>
    </row>
    <row r="154" spans="4:4" ht="13.5" customHeight="1">
      <c r="D154" s="48"/>
    </row>
    <row r="155" spans="4:4" ht="13.5" customHeight="1">
      <c r="D155" s="48"/>
    </row>
    <row r="156" spans="4:4" ht="13.5" customHeight="1">
      <c r="D156" s="48"/>
    </row>
    <row r="157" spans="4:4" ht="13.5" customHeight="1">
      <c r="D157" s="48"/>
    </row>
    <row r="158" spans="4:4" ht="13.5" customHeight="1">
      <c r="D158" s="48"/>
    </row>
    <row r="159" spans="4:4" ht="13.5" customHeight="1">
      <c r="D159" s="48"/>
    </row>
    <row r="160" spans="4:4" ht="13.5" customHeight="1">
      <c r="D160" s="48"/>
    </row>
    <row r="161" spans="4:4" ht="13.5" customHeight="1">
      <c r="D161" s="48"/>
    </row>
    <row r="162" spans="4:4" ht="13.5" customHeight="1">
      <c r="D162" s="48"/>
    </row>
    <row r="163" spans="4:4" ht="13.5" customHeight="1">
      <c r="D163" s="48"/>
    </row>
    <row r="164" spans="4:4" ht="13.5" customHeight="1">
      <c r="D164" s="48"/>
    </row>
    <row r="165" spans="4:4" ht="13.5" customHeight="1">
      <c r="D165" s="48"/>
    </row>
    <row r="166" spans="4:4" ht="13.5" customHeight="1">
      <c r="D166" s="48"/>
    </row>
    <row r="167" spans="4:4" ht="13.5" customHeight="1">
      <c r="D167" s="48"/>
    </row>
    <row r="168" spans="4:4" ht="13.5" customHeight="1">
      <c r="D168" s="48"/>
    </row>
    <row r="169" spans="4:4" ht="13.5" customHeight="1">
      <c r="D169" s="48"/>
    </row>
    <row r="170" spans="4:4" ht="13.5" customHeight="1">
      <c r="D170" s="48"/>
    </row>
    <row r="171" spans="4:4" ht="13.5" customHeight="1">
      <c r="D171" s="48"/>
    </row>
    <row r="172" spans="4:4" ht="13.5" customHeight="1">
      <c r="D172" s="48"/>
    </row>
    <row r="173" spans="4:4" ht="13.5" customHeight="1">
      <c r="D173" s="48"/>
    </row>
    <row r="174" spans="4:4" ht="13.5" customHeight="1">
      <c r="D174" s="48"/>
    </row>
    <row r="175" spans="4:4" ht="13.5" customHeight="1">
      <c r="D175" s="48"/>
    </row>
    <row r="176" spans="4:4" ht="13.5" customHeight="1">
      <c r="D176" s="48"/>
    </row>
    <row r="177" spans="4:4" ht="13.5" customHeight="1">
      <c r="D177" s="48"/>
    </row>
    <row r="178" spans="4:4" ht="13.5" customHeight="1">
      <c r="D178" s="48"/>
    </row>
    <row r="179" spans="4:4" ht="13.5" customHeight="1">
      <c r="D179" s="48"/>
    </row>
    <row r="180" spans="4:4" ht="13.5" customHeight="1">
      <c r="D180" s="48"/>
    </row>
    <row r="181" spans="4:4" ht="13.5" customHeight="1">
      <c r="D181" s="48"/>
    </row>
    <row r="182" spans="4:4" ht="13.5" customHeight="1">
      <c r="D182" s="48"/>
    </row>
    <row r="183" spans="4:4" ht="13.5" customHeight="1">
      <c r="D183" s="48"/>
    </row>
    <row r="184" spans="4:4" ht="13.5" customHeight="1">
      <c r="D184" s="48"/>
    </row>
    <row r="185" spans="4:4" ht="13.5" customHeight="1">
      <c r="D185" s="48"/>
    </row>
    <row r="186" spans="4:4" ht="13.5" customHeight="1">
      <c r="D186" s="48"/>
    </row>
    <row r="187" spans="4:4" ht="13.5" customHeight="1">
      <c r="D187" s="48"/>
    </row>
    <row r="188" spans="4:4" ht="13.5" customHeight="1">
      <c r="D188" s="48"/>
    </row>
    <row r="189" spans="4:4" ht="13.5" customHeight="1">
      <c r="D189" s="48"/>
    </row>
    <row r="190" spans="4:4" ht="13.5" customHeight="1">
      <c r="D190" s="48"/>
    </row>
    <row r="191" spans="4:4" ht="13.5" customHeight="1">
      <c r="D191" s="48"/>
    </row>
    <row r="192" spans="4:4" ht="13.5" customHeight="1">
      <c r="D192" s="48"/>
    </row>
    <row r="193" spans="4:4" ht="13.5" customHeight="1">
      <c r="D193" s="48"/>
    </row>
    <row r="194" spans="4:4" ht="13.5" customHeight="1">
      <c r="D194" s="48"/>
    </row>
    <row r="195" spans="4:4" ht="13.5" customHeight="1">
      <c r="D195" s="48"/>
    </row>
    <row r="196" spans="4:4" ht="13.5" customHeight="1">
      <c r="D196" s="48"/>
    </row>
    <row r="197" spans="4:4" ht="13.5" customHeight="1">
      <c r="D197" s="48"/>
    </row>
    <row r="198" spans="4:4" ht="13.5" customHeight="1">
      <c r="D198" s="48"/>
    </row>
    <row r="199" spans="4:4" ht="13.5" customHeight="1">
      <c r="D199" s="48"/>
    </row>
    <row r="200" spans="4:4" ht="13.5" customHeight="1">
      <c r="D200" s="48"/>
    </row>
    <row r="201" spans="4:4" ht="13.5" customHeight="1">
      <c r="D201" s="48"/>
    </row>
    <row r="202" spans="4:4" ht="13.5" customHeight="1">
      <c r="D202" s="48"/>
    </row>
    <row r="203" spans="4:4" ht="13.5" customHeight="1">
      <c r="D203" s="48"/>
    </row>
    <row r="204" spans="4:4" ht="13.5" customHeight="1">
      <c r="D204" s="48"/>
    </row>
    <row r="205" spans="4:4" ht="13.5" customHeight="1">
      <c r="D205" s="48"/>
    </row>
    <row r="206" spans="4:4" ht="13.5" customHeight="1">
      <c r="D206" s="48"/>
    </row>
    <row r="207" spans="4:4" ht="13.5" customHeight="1">
      <c r="D207" s="48"/>
    </row>
    <row r="208" spans="4:4" ht="13.5" customHeight="1">
      <c r="D208" s="48"/>
    </row>
    <row r="209" spans="4:4" ht="13.5" customHeight="1">
      <c r="D209" s="48"/>
    </row>
    <row r="210" spans="4:4" ht="13.5" customHeight="1">
      <c r="D210" s="48"/>
    </row>
    <row r="211" spans="4:4" ht="13.5" customHeight="1">
      <c r="D211" s="48"/>
    </row>
    <row r="212" spans="4:4" ht="13.5" customHeight="1">
      <c r="D212" s="48"/>
    </row>
    <row r="213" spans="4:4" ht="13.5" customHeight="1">
      <c r="D213" s="48"/>
    </row>
    <row r="214" spans="4:4" ht="13.5" customHeight="1">
      <c r="D214" s="48"/>
    </row>
    <row r="215" spans="4:4" ht="13.5" customHeight="1">
      <c r="D215" s="48"/>
    </row>
    <row r="216" spans="4:4" ht="13.5" customHeight="1">
      <c r="D216" s="48"/>
    </row>
    <row r="217" spans="4:4" ht="13.5" customHeight="1">
      <c r="D217" s="48"/>
    </row>
    <row r="218" spans="4:4" ht="13.5" customHeight="1">
      <c r="D218" s="48"/>
    </row>
    <row r="219" spans="4:4" ht="13.5" customHeight="1">
      <c r="D219" s="48"/>
    </row>
    <row r="220" spans="4:4" ht="13.5" customHeight="1">
      <c r="D220" s="48"/>
    </row>
    <row r="221" spans="4:4" ht="13.5" customHeight="1">
      <c r="D221" s="48"/>
    </row>
    <row r="222" spans="4:4" ht="13.5" customHeight="1">
      <c r="D222" s="48"/>
    </row>
    <row r="223" spans="4:4" ht="13.5" customHeight="1">
      <c r="D223" s="48"/>
    </row>
    <row r="224" spans="4:4" ht="13.5" customHeight="1">
      <c r="D224" s="48"/>
    </row>
    <row r="225" spans="4:4" ht="13.5" customHeight="1">
      <c r="D225" s="48"/>
    </row>
    <row r="226" spans="4:4" ht="13.5" customHeight="1">
      <c r="D226" s="48"/>
    </row>
    <row r="227" spans="4:4" ht="13.5" customHeight="1">
      <c r="D227" s="48"/>
    </row>
    <row r="228" spans="4:4" ht="13.5" customHeight="1">
      <c r="D228" s="48"/>
    </row>
    <row r="229" spans="4:4" ht="13.5" customHeight="1">
      <c r="D229" s="48"/>
    </row>
    <row r="230" spans="4:4" ht="13.5" customHeight="1">
      <c r="D230" s="48"/>
    </row>
    <row r="231" spans="4:4" ht="13.5" customHeight="1">
      <c r="D231" s="48"/>
    </row>
    <row r="232" spans="4:4" ht="13.5" customHeight="1">
      <c r="D232" s="48"/>
    </row>
    <row r="233" spans="4:4" ht="13.5" customHeight="1">
      <c r="D233" s="48"/>
    </row>
    <row r="234" spans="4:4" ht="13.5" customHeight="1">
      <c r="D234" s="48"/>
    </row>
    <row r="235" spans="4:4" ht="13.5" customHeight="1">
      <c r="D235" s="48"/>
    </row>
    <row r="236" spans="4:4" ht="13.5" customHeight="1">
      <c r="D236" s="48"/>
    </row>
    <row r="237" spans="4:4" ht="13.5" customHeight="1">
      <c r="D237" s="48"/>
    </row>
    <row r="238" spans="4:4" ht="13.5" customHeight="1">
      <c r="D238" s="48"/>
    </row>
    <row r="239" spans="4:4" ht="13.5" customHeight="1">
      <c r="D239" s="48"/>
    </row>
    <row r="240" spans="4:4" ht="13.5" customHeight="1">
      <c r="D240" s="48"/>
    </row>
    <row r="241" spans="4:4" ht="13.5" customHeight="1">
      <c r="D241" s="48"/>
    </row>
    <row r="242" spans="4:4" ht="13.5" customHeight="1">
      <c r="D242" s="48"/>
    </row>
    <row r="243" spans="4:4" ht="13.5" customHeight="1">
      <c r="D243" s="48"/>
    </row>
    <row r="244" spans="4:4" ht="13.5" customHeight="1">
      <c r="D244" s="48"/>
    </row>
    <row r="245" spans="4:4" ht="13.5" customHeight="1">
      <c r="D245" s="48"/>
    </row>
    <row r="246" spans="4:4" ht="13.5" customHeight="1">
      <c r="D246" s="48"/>
    </row>
    <row r="247" spans="4:4" ht="13.5" customHeight="1">
      <c r="D247" s="48"/>
    </row>
    <row r="248" spans="4:4" ht="13.5" customHeight="1">
      <c r="D248" s="48"/>
    </row>
    <row r="249" spans="4:4" ht="13.5" customHeight="1">
      <c r="D249" s="48"/>
    </row>
    <row r="250" spans="4:4" ht="13.5" customHeight="1">
      <c r="D250" s="48"/>
    </row>
    <row r="251" spans="4:4" ht="13.5" customHeight="1">
      <c r="D251" s="48"/>
    </row>
    <row r="252" spans="4:4" ht="13.5" customHeight="1">
      <c r="D252" s="48"/>
    </row>
    <row r="253" spans="4:4" ht="13.5" customHeight="1">
      <c r="D253" s="48"/>
    </row>
    <row r="254" spans="4:4" ht="13.5" customHeight="1">
      <c r="D254" s="48"/>
    </row>
    <row r="255" spans="4:4" ht="13.5" customHeight="1">
      <c r="D255" s="48"/>
    </row>
    <row r="256" spans="4:4" ht="13.5" customHeight="1">
      <c r="D256" s="48"/>
    </row>
    <row r="257" spans="4:4" ht="13.5" customHeight="1">
      <c r="D257" s="48"/>
    </row>
    <row r="258" spans="4:4" ht="13.5" customHeight="1">
      <c r="D258" s="48"/>
    </row>
    <row r="259" spans="4:4" ht="13.5" customHeight="1">
      <c r="D259" s="48"/>
    </row>
    <row r="260" spans="4:4" ht="13.5" customHeight="1">
      <c r="D260" s="48"/>
    </row>
    <row r="261" spans="4:4" ht="13.5" customHeight="1">
      <c r="D261" s="48"/>
    </row>
    <row r="262" spans="4:4" ht="13.5" customHeight="1">
      <c r="D262" s="48"/>
    </row>
    <row r="263" spans="4:4" ht="13.5" customHeight="1">
      <c r="D263" s="48"/>
    </row>
    <row r="264" spans="4:4" ht="13.5" customHeight="1">
      <c r="D264" s="48"/>
    </row>
    <row r="265" spans="4:4" ht="13.5" customHeight="1">
      <c r="D265" s="48"/>
    </row>
    <row r="266" spans="4:4" ht="13.5" customHeight="1">
      <c r="D266" s="48"/>
    </row>
    <row r="267" spans="4:4" ht="13.5" customHeight="1">
      <c r="D267" s="48"/>
    </row>
    <row r="268" spans="4:4" ht="13.5" customHeight="1">
      <c r="D268" s="48"/>
    </row>
    <row r="269" spans="4:4" ht="13.5" customHeight="1">
      <c r="D269" s="48"/>
    </row>
    <row r="270" spans="4:4" ht="13.5" customHeight="1">
      <c r="D270" s="48"/>
    </row>
    <row r="271" spans="4:4" ht="13.5" customHeight="1">
      <c r="D271" s="48"/>
    </row>
    <row r="272" spans="4:4" ht="13.5" customHeight="1">
      <c r="D272" s="48"/>
    </row>
    <row r="273" spans="4:4" ht="13.5" customHeight="1">
      <c r="D273" s="48"/>
    </row>
    <row r="274" spans="4:4" ht="13.5" customHeight="1">
      <c r="D274" s="48"/>
    </row>
    <row r="275" spans="4:4" ht="13.5" customHeight="1">
      <c r="D275" s="48"/>
    </row>
    <row r="276" spans="4:4" ht="13.5" customHeight="1">
      <c r="D276" s="48"/>
    </row>
    <row r="277" spans="4:4" ht="13.5" customHeight="1">
      <c r="D277" s="48"/>
    </row>
    <row r="278" spans="4:4" ht="13.5" customHeight="1">
      <c r="D278" s="48"/>
    </row>
    <row r="279" spans="4:4" ht="13.5" customHeight="1">
      <c r="D279" s="48"/>
    </row>
    <row r="280" spans="4:4" ht="13.5" customHeight="1">
      <c r="D280" s="48"/>
    </row>
    <row r="281" spans="4:4" ht="13.5" customHeight="1">
      <c r="D281" s="48"/>
    </row>
    <row r="282" spans="4:4" ht="13.5" customHeight="1">
      <c r="D282" s="48"/>
    </row>
    <row r="283" spans="4:4" ht="13.5" customHeight="1">
      <c r="D283" s="48"/>
    </row>
    <row r="284" spans="4:4" ht="13.5" customHeight="1">
      <c r="D284" s="48"/>
    </row>
    <row r="285" spans="4:4" ht="13.5" customHeight="1">
      <c r="D285" s="48"/>
    </row>
    <row r="286" spans="4:4" ht="13.5" customHeight="1">
      <c r="D286" s="48"/>
    </row>
    <row r="287" spans="4:4" ht="13.5" customHeight="1">
      <c r="D287" s="48"/>
    </row>
    <row r="288" spans="4:4" ht="13.5" customHeight="1">
      <c r="D288" s="48"/>
    </row>
    <row r="289" spans="4:4" ht="13.5" customHeight="1">
      <c r="D289" s="48"/>
    </row>
    <row r="290" spans="4:4" ht="13.5" customHeight="1">
      <c r="D290" s="48"/>
    </row>
    <row r="291" spans="4:4" ht="13.5" customHeight="1">
      <c r="D291" s="48"/>
    </row>
    <row r="292" spans="4:4" ht="13.5" customHeight="1">
      <c r="D292" s="48"/>
    </row>
    <row r="293" spans="4:4" ht="13.5" customHeight="1">
      <c r="D293" s="48"/>
    </row>
    <row r="294" spans="4:4" ht="13.5" customHeight="1">
      <c r="D294" s="48"/>
    </row>
    <row r="295" spans="4:4" ht="13.5" customHeight="1">
      <c r="D295" s="48"/>
    </row>
    <row r="296" spans="4:4" ht="13.5" customHeight="1">
      <c r="D296" s="48"/>
    </row>
    <row r="297" spans="4:4" ht="13.5" customHeight="1">
      <c r="D297" s="48"/>
    </row>
    <row r="298" spans="4:4" ht="13.5" customHeight="1">
      <c r="D298" s="48"/>
    </row>
    <row r="299" spans="4:4" ht="13.5" customHeight="1">
      <c r="D299" s="48"/>
    </row>
    <row r="300" spans="4:4" ht="13.5" customHeight="1">
      <c r="D300" s="48"/>
    </row>
    <row r="301" spans="4:4" ht="13.5" customHeight="1">
      <c r="D301" s="48"/>
    </row>
    <row r="302" spans="4:4" ht="13.5" customHeight="1">
      <c r="D302" s="48"/>
    </row>
    <row r="303" spans="4:4" ht="13.5" customHeight="1">
      <c r="D303" s="48"/>
    </row>
    <row r="304" spans="4:4" ht="13.5" customHeight="1">
      <c r="D304" s="48"/>
    </row>
    <row r="305" spans="4:4" ht="13.5" customHeight="1">
      <c r="D305" s="48"/>
    </row>
    <row r="306" spans="4:4" ht="13.5" customHeight="1">
      <c r="D306" s="48"/>
    </row>
    <row r="307" spans="4:4" ht="13.5" customHeight="1">
      <c r="D307" s="48"/>
    </row>
    <row r="308" spans="4:4" ht="13.5" customHeight="1">
      <c r="D308" s="48"/>
    </row>
    <row r="309" spans="4:4" ht="13.5" customHeight="1">
      <c r="D309" s="48"/>
    </row>
    <row r="310" spans="4:4" ht="13.5" customHeight="1">
      <c r="D310" s="48"/>
    </row>
    <row r="311" spans="4:4" ht="13.5" customHeight="1">
      <c r="D311" s="48"/>
    </row>
    <row r="312" spans="4:4" ht="13.5" customHeight="1">
      <c r="D312" s="48"/>
    </row>
    <row r="313" spans="4:4" ht="13.5" customHeight="1">
      <c r="D313" s="48"/>
    </row>
    <row r="314" spans="4:4" ht="13.5" customHeight="1">
      <c r="D314" s="48"/>
    </row>
    <row r="315" spans="4:4" ht="13.5" customHeight="1">
      <c r="D315" s="48"/>
    </row>
    <row r="316" spans="4:4" ht="13.5" customHeight="1">
      <c r="D316" s="48"/>
    </row>
    <row r="317" spans="4:4" ht="13.5" customHeight="1">
      <c r="D317" s="48"/>
    </row>
    <row r="318" spans="4:4" ht="13.5" customHeight="1">
      <c r="D318" s="48"/>
    </row>
    <row r="319" spans="4:4" ht="13.5" customHeight="1">
      <c r="D319" s="48"/>
    </row>
    <row r="320" spans="4:4" ht="13.5" customHeight="1">
      <c r="D320" s="48"/>
    </row>
    <row r="321" spans="4:4" ht="13.5" customHeight="1">
      <c r="D321" s="48"/>
    </row>
    <row r="322" spans="4:4" ht="13.5" customHeight="1">
      <c r="D322" s="48"/>
    </row>
    <row r="323" spans="4:4" ht="13.5" customHeight="1">
      <c r="D323" s="48"/>
    </row>
    <row r="324" spans="4:4" ht="13.5" customHeight="1">
      <c r="D324" s="48"/>
    </row>
    <row r="325" spans="4:4" ht="13.5" customHeight="1">
      <c r="D325" s="48"/>
    </row>
    <row r="326" spans="4:4" ht="13.5" customHeight="1">
      <c r="D326" s="48"/>
    </row>
    <row r="327" spans="4:4" ht="13.5" customHeight="1">
      <c r="D327" s="48"/>
    </row>
    <row r="328" spans="4:4" ht="13.5" customHeight="1">
      <c r="D328" s="48"/>
    </row>
    <row r="329" spans="4:4" ht="13.5" customHeight="1">
      <c r="D329" s="48"/>
    </row>
    <row r="330" spans="4:4" ht="13.5" customHeight="1">
      <c r="D330" s="48"/>
    </row>
    <row r="331" spans="4:4" ht="13.5" customHeight="1">
      <c r="D331" s="48"/>
    </row>
    <row r="332" spans="4:4" ht="13.5" customHeight="1">
      <c r="D332" s="48"/>
    </row>
    <row r="333" spans="4:4" ht="13.5" customHeight="1">
      <c r="D333" s="48"/>
    </row>
    <row r="334" spans="4:4" ht="13.5" customHeight="1">
      <c r="D334" s="48"/>
    </row>
    <row r="335" spans="4:4" ht="13.5" customHeight="1">
      <c r="D335" s="48"/>
    </row>
    <row r="336" spans="4:4" ht="13.5" customHeight="1">
      <c r="D336" s="48"/>
    </row>
    <row r="337" spans="4:4" ht="13.5" customHeight="1">
      <c r="D337" s="48"/>
    </row>
    <row r="338" spans="4:4" ht="13.5" customHeight="1">
      <c r="D338" s="48"/>
    </row>
    <row r="339" spans="4:4" ht="13.5" customHeight="1">
      <c r="D339" s="48"/>
    </row>
    <row r="340" spans="4:4" ht="13.5" customHeight="1">
      <c r="D340" s="48"/>
    </row>
    <row r="341" spans="4:4" ht="13.5" customHeight="1">
      <c r="D341" s="48"/>
    </row>
    <row r="342" spans="4:4" ht="13.5" customHeight="1">
      <c r="D342" s="48"/>
    </row>
    <row r="343" spans="4:4" ht="13.5" customHeight="1">
      <c r="D343" s="48"/>
    </row>
    <row r="344" spans="4:4" ht="13.5" customHeight="1">
      <c r="D344" s="48"/>
    </row>
    <row r="345" spans="4:4" ht="13.5" customHeight="1">
      <c r="D345" s="48"/>
    </row>
    <row r="346" spans="4:4" ht="13.5" customHeight="1">
      <c r="D346" s="48"/>
    </row>
    <row r="347" spans="4:4" ht="13.5" customHeight="1">
      <c r="D347" s="48"/>
    </row>
    <row r="348" spans="4:4" ht="13.5" customHeight="1">
      <c r="D348" s="48"/>
    </row>
    <row r="349" spans="4:4" ht="13.5" customHeight="1">
      <c r="D349" s="48"/>
    </row>
    <row r="350" spans="4:4" ht="13.5" customHeight="1">
      <c r="D350" s="48"/>
    </row>
    <row r="351" spans="4:4" ht="13.5" customHeight="1">
      <c r="D351" s="48"/>
    </row>
    <row r="352" spans="4:4" ht="13.5" customHeight="1">
      <c r="D352" s="48"/>
    </row>
    <row r="353" spans="4:4" ht="13.5" customHeight="1">
      <c r="D353" s="48"/>
    </row>
    <row r="354" spans="4:4" ht="13.5" customHeight="1">
      <c r="D354" s="48"/>
    </row>
    <row r="355" spans="4:4" ht="13.5" customHeight="1">
      <c r="D355" s="48"/>
    </row>
    <row r="356" spans="4:4" ht="13.5" customHeight="1">
      <c r="D356" s="48"/>
    </row>
    <row r="357" spans="4:4" ht="13.5" customHeight="1">
      <c r="D357" s="48"/>
    </row>
    <row r="358" spans="4:4" ht="13.5" customHeight="1">
      <c r="D358" s="48"/>
    </row>
    <row r="359" spans="4:4" ht="13.5" customHeight="1">
      <c r="D359" s="48"/>
    </row>
    <row r="360" spans="4:4" ht="13.5" customHeight="1">
      <c r="D360" s="48"/>
    </row>
    <row r="361" spans="4:4" ht="13.5" customHeight="1">
      <c r="D361" s="48"/>
    </row>
    <row r="362" spans="4:4" ht="13.5" customHeight="1">
      <c r="D362" s="48"/>
    </row>
    <row r="363" spans="4:4" ht="13.5" customHeight="1">
      <c r="D363" s="48"/>
    </row>
    <row r="364" spans="4:4" ht="13.5" customHeight="1">
      <c r="D364" s="48"/>
    </row>
    <row r="365" spans="4:4" ht="13.5" customHeight="1">
      <c r="D365" s="48"/>
    </row>
    <row r="366" spans="4:4" ht="13.5" customHeight="1">
      <c r="D366" s="48"/>
    </row>
    <row r="367" spans="4:4" ht="13.5" customHeight="1">
      <c r="D367" s="48"/>
    </row>
    <row r="368" spans="4:4" ht="13.5" customHeight="1">
      <c r="D368" s="48"/>
    </row>
    <row r="369" spans="4:4" ht="13.5" customHeight="1">
      <c r="D369" s="48"/>
    </row>
    <row r="370" spans="4:4" ht="13.5" customHeight="1">
      <c r="D370" s="48"/>
    </row>
    <row r="371" spans="4:4" ht="13.5" customHeight="1">
      <c r="D371" s="48"/>
    </row>
    <row r="372" spans="4:4" ht="13.5" customHeight="1">
      <c r="D372" s="48"/>
    </row>
    <row r="373" spans="4:4" ht="13.5" customHeight="1">
      <c r="D373" s="48"/>
    </row>
    <row r="374" spans="4:4" ht="13.5" customHeight="1">
      <c r="D374" s="48"/>
    </row>
    <row r="375" spans="4:4" ht="13.5" customHeight="1">
      <c r="D375" s="48"/>
    </row>
    <row r="376" spans="4:4" ht="13.5" customHeight="1">
      <c r="D376" s="48"/>
    </row>
    <row r="377" spans="4:4" ht="13.5" customHeight="1">
      <c r="D377" s="48"/>
    </row>
    <row r="378" spans="4:4" ht="13.5" customHeight="1">
      <c r="D378" s="48"/>
    </row>
    <row r="379" spans="4:4" ht="13.5" customHeight="1">
      <c r="D379" s="48"/>
    </row>
    <row r="380" spans="4:4" ht="13.5" customHeight="1">
      <c r="D380" s="48"/>
    </row>
    <row r="381" spans="4:4" ht="13.5" customHeight="1">
      <c r="D381" s="48"/>
    </row>
    <row r="382" spans="4:4" ht="13.5" customHeight="1">
      <c r="D382" s="48"/>
    </row>
    <row r="383" spans="4:4" ht="13.5" customHeight="1">
      <c r="D383" s="48"/>
    </row>
    <row r="384" spans="4:4" ht="13.5" customHeight="1">
      <c r="D384" s="48"/>
    </row>
    <row r="385" spans="4:4" ht="13.5" customHeight="1">
      <c r="D385" s="48"/>
    </row>
    <row r="386" spans="4:4" ht="13.5" customHeight="1">
      <c r="D386" s="48"/>
    </row>
    <row r="387" spans="4:4" ht="13.5" customHeight="1">
      <c r="D387" s="48"/>
    </row>
    <row r="388" spans="4:4" ht="13.5" customHeight="1">
      <c r="D388" s="48"/>
    </row>
    <row r="389" spans="4:4" ht="13.5" customHeight="1">
      <c r="D389" s="48"/>
    </row>
    <row r="390" spans="4:4" ht="13.5" customHeight="1">
      <c r="D390" s="48"/>
    </row>
    <row r="391" spans="4:4" ht="13.5" customHeight="1">
      <c r="D391" s="48"/>
    </row>
    <row r="392" spans="4:4" ht="13.5" customHeight="1">
      <c r="D392" s="48"/>
    </row>
    <row r="393" spans="4:4" ht="13.5" customHeight="1">
      <c r="D393" s="48"/>
    </row>
    <row r="394" spans="4:4" ht="13.5" customHeight="1">
      <c r="D394" s="48"/>
    </row>
    <row r="395" spans="4:4" ht="13.5" customHeight="1">
      <c r="D395" s="48"/>
    </row>
    <row r="396" spans="4:4" ht="13.5" customHeight="1">
      <c r="D396" s="48"/>
    </row>
    <row r="397" spans="4:4" ht="13.5" customHeight="1">
      <c r="D397" s="48"/>
    </row>
    <row r="398" spans="4:4" ht="13.5" customHeight="1">
      <c r="D398" s="48"/>
    </row>
    <row r="399" spans="4:4" ht="13.5" customHeight="1">
      <c r="D399" s="48"/>
    </row>
    <row r="400" spans="4:4" ht="13.5" customHeight="1">
      <c r="D400" s="48"/>
    </row>
    <row r="401" spans="4:4" ht="13.5" customHeight="1">
      <c r="D401" s="48"/>
    </row>
    <row r="402" spans="4:4" ht="13.5" customHeight="1">
      <c r="D402" s="48"/>
    </row>
    <row r="403" spans="4:4" ht="13.5" customHeight="1">
      <c r="D403" s="48"/>
    </row>
    <row r="404" spans="4:4" ht="13.5" customHeight="1">
      <c r="D404" s="48"/>
    </row>
    <row r="405" spans="4:4" ht="13.5" customHeight="1">
      <c r="D405" s="48"/>
    </row>
    <row r="406" spans="4:4" ht="13.5" customHeight="1">
      <c r="D406" s="48"/>
    </row>
    <row r="407" spans="4:4" ht="13.5" customHeight="1">
      <c r="D407" s="48"/>
    </row>
    <row r="408" spans="4:4" ht="13.5" customHeight="1">
      <c r="D408" s="48"/>
    </row>
    <row r="409" spans="4:4" ht="13.5" customHeight="1">
      <c r="D409" s="48"/>
    </row>
    <row r="410" spans="4:4" ht="13.5" customHeight="1">
      <c r="D410" s="48"/>
    </row>
    <row r="411" spans="4:4" ht="13.5" customHeight="1">
      <c r="D411" s="48"/>
    </row>
    <row r="412" spans="4:4" ht="13.5" customHeight="1">
      <c r="D412" s="48"/>
    </row>
    <row r="413" spans="4:4" ht="13.5" customHeight="1">
      <c r="D413" s="48"/>
    </row>
    <row r="414" spans="4:4" ht="13.5" customHeight="1">
      <c r="D414" s="48"/>
    </row>
    <row r="415" spans="4:4" ht="13.5" customHeight="1">
      <c r="D415" s="48"/>
    </row>
    <row r="416" spans="4:4" ht="13.5" customHeight="1">
      <c r="D416" s="48"/>
    </row>
    <row r="417" spans="4:4" ht="13.5" customHeight="1">
      <c r="D417" s="48"/>
    </row>
    <row r="418" spans="4:4" ht="13.5" customHeight="1">
      <c r="D418" s="48"/>
    </row>
    <row r="419" spans="4:4" ht="13.5" customHeight="1">
      <c r="D419" s="48"/>
    </row>
    <row r="420" spans="4:4" ht="13.5" customHeight="1">
      <c r="D420" s="48"/>
    </row>
    <row r="421" spans="4:4" ht="13.5" customHeight="1">
      <c r="D421" s="48"/>
    </row>
    <row r="422" spans="4:4" ht="13.5" customHeight="1">
      <c r="D422" s="48"/>
    </row>
    <row r="423" spans="4:4" ht="13.5" customHeight="1">
      <c r="D423" s="48"/>
    </row>
    <row r="424" spans="4:4" ht="13.5" customHeight="1">
      <c r="D424" s="48"/>
    </row>
    <row r="425" spans="4:4" ht="13.5" customHeight="1">
      <c r="D425" s="48"/>
    </row>
    <row r="426" spans="4:4" ht="13.5" customHeight="1">
      <c r="D426" s="48"/>
    </row>
    <row r="427" spans="4:4" ht="13.5" customHeight="1">
      <c r="D427" s="48"/>
    </row>
    <row r="428" spans="4:4" ht="13.5" customHeight="1">
      <c r="D428" s="48"/>
    </row>
    <row r="429" spans="4:4" ht="13.5" customHeight="1">
      <c r="D429" s="48"/>
    </row>
    <row r="430" spans="4:4" ht="13.5" customHeight="1">
      <c r="D430" s="48"/>
    </row>
    <row r="431" spans="4:4" ht="13.5" customHeight="1">
      <c r="D431" s="48"/>
    </row>
    <row r="432" spans="4:4" ht="13.5" customHeight="1">
      <c r="D432" s="48"/>
    </row>
    <row r="433" spans="4:4" ht="13.5" customHeight="1">
      <c r="D433" s="48"/>
    </row>
    <row r="434" spans="4:4" ht="13.5" customHeight="1">
      <c r="D434" s="48"/>
    </row>
    <row r="435" spans="4:4" ht="13.5" customHeight="1">
      <c r="D435" s="48"/>
    </row>
    <row r="436" spans="4:4" ht="13.5" customHeight="1">
      <c r="D436" s="48"/>
    </row>
    <row r="437" spans="4:4" ht="13.5" customHeight="1">
      <c r="D437" s="48"/>
    </row>
    <row r="438" spans="4:4" ht="13.5" customHeight="1">
      <c r="D438" s="48"/>
    </row>
    <row r="439" spans="4:4" ht="13.5" customHeight="1">
      <c r="D439" s="48"/>
    </row>
    <row r="440" spans="4:4" ht="13.5" customHeight="1">
      <c r="D440" s="48"/>
    </row>
    <row r="441" spans="4:4" ht="13.5" customHeight="1">
      <c r="D441" s="48"/>
    </row>
    <row r="442" spans="4:4" ht="13.5" customHeight="1">
      <c r="D442" s="48"/>
    </row>
    <row r="443" spans="4:4" ht="13.5" customHeight="1">
      <c r="D443" s="48"/>
    </row>
    <row r="444" spans="4:4" ht="13.5" customHeight="1">
      <c r="D444" s="48"/>
    </row>
    <row r="445" spans="4:4" ht="13.5" customHeight="1">
      <c r="D445" s="48"/>
    </row>
    <row r="446" spans="4:4" ht="13.5" customHeight="1">
      <c r="D446" s="48"/>
    </row>
    <row r="447" spans="4:4" ht="13.5" customHeight="1">
      <c r="D447" s="48"/>
    </row>
    <row r="448" spans="4:4" ht="13.5" customHeight="1">
      <c r="D448" s="48"/>
    </row>
    <row r="449" spans="4:4" ht="13.5" customHeight="1">
      <c r="D449" s="48"/>
    </row>
    <row r="450" spans="4:4" ht="13.5" customHeight="1">
      <c r="D450" s="48"/>
    </row>
    <row r="451" spans="4:4" ht="13.5" customHeight="1">
      <c r="D451" s="48"/>
    </row>
    <row r="452" spans="4:4" ht="13.5" customHeight="1">
      <c r="D452" s="48"/>
    </row>
    <row r="453" spans="4:4" ht="13.5" customHeight="1">
      <c r="D453" s="48"/>
    </row>
    <row r="454" spans="4:4" ht="13.5" customHeight="1">
      <c r="D454" s="48"/>
    </row>
    <row r="455" spans="4:4" ht="13.5" customHeight="1">
      <c r="D455" s="48"/>
    </row>
    <row r="456" spans="4:4" ht="13.5" customHeight="1">
      <c r="D456" s="48"/>
    </row>
    <row r="457" spans="4:4" ht="13.5" customHeight="1">
      <c r="D457" s="48"/>
    </row>
    <row r="458" spans="4:4" ht="13.5" customHeight="1">
      <c r="D458" s="48"/>
    </row>
    <row r="459" spans="4:4" ht="13.5" customHeight="1">
      <c r="D459" s="48"/>
    </row>
    <row r="460" spans="4:4" ht="13.5" customHeight="1">
      <c r="D460" s="48"/>
    </row>
    <row r="461" spans="4:4" ht="13.5" customHeight="1">
      <c r="D461" s="48"/>
    </row>
    <row r="462" spans="4:4" ht="13.5" customHeight="1">
      <c r="D462" s="48"/>
    </row>
    <row r="463" spans="4:4" ht="13.5" customHeight="1">
      <c r="D463" s="48"/>
    </row>
    <row r="464" spans="4:4" ht="13.5" customHeight="1">
      <c r="D464" s="48"/>
    </row>
    <row r="465" spans="4:4" ht="13.5" customHeight="1">
      <c r="D465" s="48"/>
    </row>
    <row r="466" spans="4:4" ht="13.5" customHeight="1">
      <c r="D466" s="48"/>
    </row>
    <row r="467" spans="4:4" ht="13.5" customHeight="1">
      <c r="D467" s="48"/>
    </row>
    <row r="468" spans="4:4" ht="13.5" customHeight="1">
      <c r="D468" s="48"/>
    </row>
    <row r="469" spans="4:4" ht="13.5" customHeight="1">
      <c r="D469" s="48"/>
    </row>
    <row r="470" spans="4:4" ht="13.5" customHeight="1">
      <c r="D470" s="48"/>
    </row>
    <row r="471" spans="4:4" ht="13.5" customHeight="1">
      <c r="D471" s="48"/>
    </row>
    <row r="472" spans="4:4" ht="13.5" customHeight="1">
      <c r="D472" s="48"/>
    </row>
    <row r="473" spans="4:4" ht="13.5" customHeight="1">
      <c r="D473" s="48"/>
    </row>
    <row r="474" spans="4:4" ht="13.5" customHeight="1">
      <c r="D474" s="48"/>
    </row>
    <row r="475" spans="4:4" ht="13.5" customHeight="1">
      <c r="D475" s="48"/>
    </row>
    <row r="476" spans="4:4" ht="13.5" customHeight="1">
      <c r="D476" s="48"/>
    </row>
    <row r="477" spans="4:4" ht="13.5" customHeight="1">
      <c r="D477" s="48"/>
    </row>
    <row r="478" spans="4:4" ht="13.5" customHeight="1">
      <c r="D478" s="48"/>
    </row>
    <row r="479" spans="4:4" ht="13.5" customHeight="1">
      <c r="D479" s="48"/>
    </row>
    <row r="480" spans="4:4" ht="13.5" customHeight="1">
      <c r="D480" s="48"/>
    </row>
    <row r="481" spans="4:4" ht="13.5" customHeight="1">
      <c r="D481" s="48"/>
    </row>
    <row r="482" spans="4:4" ht="13.5" customHeight="1">
      <c r="D482" s="48"/>
    </row>
    <row r="483" spans="4:4" ht="13.5" customHeight="1">
      <c r="D483" s="48"/>
    </row>
    <row r="484" spans="4:4" ht="13.5" customHeight="1">
      <c r="D484" s="48"/>
    </row>
    <row r="485" spans="4:4" ht="13.5" customHeight="1">
      <c r="D485" s="48"/>
    </row>
    <row r="486" spans="4:4" ht="13.5" customHeight="1">
      <c r="D486" s="48"/>
    </row>
    <row r="487" spans="4:4" ht="13.5" customHeight="1">
      <c r="D487" s="48"/>
    </row>
    <row r="488" spans="4:4" ht="13.5" customHeight="1">
      <c r="D488" s="48"/>
    </row>
    <row r="489" spans="4:4" ht="13.5" customHeight="1">
      <c r="D489" s="48"/>
    </row>
    <row r="490" spans="4:4" ht="13.5" customHeight="1">
      <c r="D490" s="48"/>
    </row>
    <row r="491" spans="4:4" ht="13.5" customHeight="1">
      <c r="D491" s="48"/>
    </row>
    <row r="492" spans="4:4" ht="13.5" customHeight="1">
      <c r="D492" s="48"/>
    </row>
    <row r="493" spans="4:4" ht="13.5" customHeight="1">
      <c r="D493" s="48"/>
    </row>
    <row r="494" spans="4:4" ht="13.5" customHeight="1">
      <c r="D494" s="48"/>
    </row>
    <row r="495" spans="4:4" ht="13.5" customHeight="1">
      <c r="D495" s="48"/>
    </row>
    <row r="496" spans="4:4" ht="13.5" customHeight="1">
      <c r="D496" s="48"/>
    </row>
    <row r="497" spans="4:4" ht="13.5" customHeight="1">
      <c r="D497" s="48"/>
    </row>
    <row r="498" spans="4:4" ht="13.5" customHeight="1">
      <c r="D498" s="48"/>
    </row>
    <row r="499" spans="4:4" ht="13.5" customHeight="1">
      <c r="D499" s="48"/>
    </row>
    <row r="500" spans="4:4" ht="13.5" customHeight="1">
      <c r="D500" s="48"/>
    </row>
    <row r="501" spans="4:4" ht="13.5" customHeight="1">
      <c r="D501" s="48"/>
    </row>
    <row r="502" spans="4:4" ht="13.5" customHeight="1">
      <c r="D502" s="48"/>
    </row>
    <row r="503" spans="4:4" ht="13.5" customHeight="1">
      <c r="D503" s="48"/>
    </row>
    <row r="504" spans="4:4" ht="13.5" customHeight="1">
      <c r="D504" s="48"/>
    </row>
    <row r="505" spans="4:4" ht="13.5" customHeight="1">
      <c r="D505" s="48"/>
    </row>
    <row r="506" spans="4:4" ht="13.5" customHeight="1">
      <c r="D506" s="48"/>
    </row>
    <row r="507" spans="4:4" ht="13.5" customHeight="1">
      <c r="D507" s="48"/>
    </row>
    <row r="508" spans="4:4" ht="13.5" customHeight="1">
      <c r="D508" s="48"/>
    </row>
    <row r="509" spans="4:4" ht="13.5" customHeight="1">
      <c r="D509" s="48"/>
    </row>
    <row r="510" spans="4:4" ht="13.5" customHeight="1">
      <c r="D510" s="48"/>
    </row>
    <row r="511" spans="4:4" ht="13.5" customHeight="1">
      <c r="D511" s="48"/>
    </row>
    <row r="512" spans="4:4" ht="13.5" customHeight="1">
      <c r="D512" s="48"/>
    </row>
    <row r="513" spans="4:4" ht="13.5" customHeight="1">
      <c r="D513" s="48"/>
    </row>
    <row r="514" spans="4:4" ht="13.5" customHeight="1">
      <c r="D514" s="48"/>
    </row>
    <row r="515" spans="4:4" ht="13.5" customHeight="1">
      <c r="D515" s="48"/>
    </row>
    <row r="516" spans="4:4" ht="13.5" customHeight="1">
      <c r="D516" s="48"/>
    </row>
    <row r="517" spans="4:4" ht="13.5" customHeight="1">
      <c r="D517" s="48"/>
    </row>
    <row r="518" spans="4:4" ht="13.5" customHeight="1">
      <c r="D518" s="48"/>
    </row>
    <row r="519" spans="4:4" ht="13.5" customHeight="1">
      <c r="D519" s="48"/>
    </row>
    <row r="520" spans="4:4" ht="13.5" customHeight="1">
      <c r="D520" s="48"/>
    </row>
    <row r="521" spans="4:4" ht="13.5" customHeight="1">
      <c r="D521" s="48"/>
    </row>
    <row r="522" spans="4:4" ht="13.5" customHeight="1">
      <c r="D522" s="48"/>
    </row>
    <row r="523" spans="4:4" ht="13.5" customHeight="1">
      <c r="D523" s="48"/>
    </row>
    <row r="524" spans="4:4" ht="13.5" customHeight="1">
      <c r="D524" s="48"/>
    </row>
    <row r="525" spans="4:4" ht="13.5" customHeight="1">
      <c r="D525" s="48"/>
    </row>
    <row r="526" spans="4:4" ht="13.5" customHeight="1">
      <c r="D526" s="48"/>
    </row>
    <row r="527" spans="4:4" ht="13.5" customHeight="1">
      <c r="D527" s="48"/>
    </row>
    <row r="528" spans="4:4" ht="13.5" customHeight="1">
      <c r="D528" s="48"/>
    </row>
    <row r="529" spans="4:4" ht="13.5" customHeight="1">
      <c r="D529" s="48"/>
    </row>
    <row r="530" spans="4:4" ht="13.5" customHeight="1">
      <c r="D530" s="48"/>
    </row>
    <row r="531" spans="4:4" ht="13.5" customHeight="1">
      <c r="D531" s="48"/>
    </row>
    <row r="532" spans="4:4" ht="13.5" customHeight="1">
      <c r="D532" s="48"/>
    </row>
    <row r="533" spans="4:4" ht="13.5" customHeight="1">
      <c r="D533" s="48"/>
    </row>
    <row r="534" spans="4:4" ht="13.5" customHeight="1">
      <c r="D534" s="48"/>
    </row>
    <row r="535" spans="4:4" ht="13.5" customHeight="1">
      <c r="D535" s="48"/>
    </row>
    <row r="536" spans="4:4" ht="13.5" customHeight="1">
      <c r="D536" s="48"/>
    </row>
    <row r="537" spans="4:4" ht="13.5" customHeight="1">
      <c r="D537" s="48"/>
    </row>
    <row r="538" spans="4:4" ht="13.5" customHeight="1">
      <c r="D538" s="48"/>
    </row>
    <row r="539" spans="4:4" ht="13.5" customHeight="1">
      <c r="D539" s="48"/>
    </row>
    <row r="540" spans="4:4" ht="13.5" customHeight="1">
      <c r="D540" s="48"/>
    </row>
    <row r="541" spans="4:4" ht="13.5" customHeight="1">
      <c r="D541" s="48"/>
    </row>
    <row r="542" spans="4:4" ht="13.5" customHeight="1">
      <c r="D542" s="48"/>
    </row>
    <row r="543" spans="4:4" ht="13.5" customHeight="1">
      <c r="D543" s="48"/>
    </row>
    <row r="544" spans="4:4" ht="13.5" customHeight="1">
      <c r="D544" s="48"/>
    </row>
    <row r="545" spans="4:4" ht="13.5" customHeight="1">
      <c r="D545" s="48"/>
    </row>
    <row r="546" spans="4:4" ht="13.5" customHeight="1">
      <c r="D546" s="48"/>
    </row>
    <row r="547" spans="4:4" ht="13.5" customHeight="1">
      <c r="D547" s="48"/>
    </row>
    <row r="548" spans="4:4" ht="13.5" customHeight="1">
      <c r="D548" s="48"/>
    </row>
    <row r="549" spans="4:4" ht="13.5" customHeight="1">
      <c r="D549" s="48"/>
    </row>
    <row r="550" spans="4:4" ht="13.5" customHeight="1">
      <c r="D550" s="48"/>
    </row>
    <row r="551" spans="4:4" ht="13.5" customHeight="1">
      <c r="D551" s="48"/>
    </row>
    <row r="552" spans="4:4" ht="13.5" customHeight="1">
      <c r="D552" s="48"/>
    </row>
    <row r="553" spans="4:4" ht="13.5" customHeight="1">
      <c r="D553" s="48"/>
    </row>
    <row r="554" spans="4:4" ht="13.5" customHeight="1">
      <c r="D554" s="48"/>
    </row>
    <row r="555" spans="4:4" ht="13.5" customHeight="1">
      <c r="D555" s="48"/>
    </row>
    <row r="556" spans="4:4" ht="13.5" customHeight="1">
      <c r="D556" s="48"/>
    </row>
    <row r="557" spans="4:4" ht="13.5" customHeight="1">
      <c r="D557" s="48"/>
    </row>
    <row r="558" spans="4:4" ht="13.5" customHeight="1">
      <c r="D558" s="48"/>
    </row>
    <row r="559" spans="4:4" ht="13.5" customHeight="1">
      <c r="D559" s="48"/>
    </row>
    <row r="560" spans="4:4" ht="13.5" customHeight="1">
      <c r="D560" s="48"/>
    </row>
    <row r="561" spans="4:4" ht="13.5" customHeight="1">
      <c r="D561" s="48"/>
    </row>
    <row r="562" spans="4:4" ht="13.5" customHeight="1">
      <c r="D562" s="48"/>
    </row>
    <row r="563" spans="4:4" ht="13.5" customHeight="1">
      <c r="D563" s="48"/>
    </row>
    <row r="564" spans="4:4" ht="13.5" customHeight="1">
      <c r="D564" s="48"/>
    </row>
    <row r="565" spans="4:4" ht="13.5" customHeight="1">
      <c r="D565" s="48"/>
    </row>
    <row r="566" spans="4:4" ht="13.5" customHeight="1">
      <c r="D566" s="48"/>
    </row>
    <row r="567" spans="4:4" ht="13.5" customHeight="1">
      <c r="D567" s="48"/>
    </row>
    <row r="568" spans="4:4" ht="13.5" customHeight="1">
      <c r="D568" s="48"/>
    </row>
    <row r="569" spans="4:4" ht="13.5" customHeight="1">
      <c r="D569" s="48"/>
    </row>
    <row r="570" spans="4:4" ht="13.5" customHeight="1">
      <c r="D570" s="48"/>
    </row>
    <row r="571" spans="4:4" ht="13.5" customHeight="1">
      <c r="D571" s="48"/>
    </row>
    <row r="572" spans="4:4" ht="13.5" customHeight="1">
      <c r="D572" s="48"/>
    </row>
    <row r="573" spans="4:4" ht="13.5" customHeight="1">
      <c r="D573" s="48"/>
    </row>
    <row r="574" spans="4:4" ht="13.5" customHeight="1">
      <c r="D574" s="48"/>
    </row>
    <row r="575" spans="4:4" ht="13.5" customHeight="1">
      <c r="D575" s="48"/>
    </row>
    <row r="576" spans="4:4" ht="13.5" customHeight="1">
      <c r="D576" s="48"/>
    </row>
    <row r="577" spans="4:4" ht="13.5" customHeight="1">
      <c r="D577" s="48"/>
    </row>
    <row r="578" spans="4:4" ht="13.5" customHeight="1">
      <c r="D578" s="48"/>
    </row>
    <row r="579" spans="4:4" ht="13.5" customHeight="1">
      <c r="D579" s="48"/>
    </row>
    <row r="580" spans="4:4" ht="13.5" customHeight="1">
      <c r="D580" s="48"/>
    </row>
    <row r="581" spans="4:4" ht="13.5" customHeight="1">
      <c r="D581" s="48"/>
    </row>
    <row r="582" spans="4:4" ht="13.5" customHeight="1">
      <c r="D582" s="48"/>
    </row>
    <row r="583" spans="4:4" ht="13.5" customHeight="1">
      <c r="D583" s="48"/>
    </row>
    <row r="584" spans="4:4" ht="13.5" customHeight="1">
      <c r="D584" s="48"/>
    </row>
    <row r="585" spans="4:4" ht="13.5" customHeight="1">
      <c r="D585" s="48"/>
    </row>
    <row r="586" spans="4:4" ht="13.5" customHeight="1">
      <c r="D586" s="48"/>
    </row>
    <row r="587" spans="4:4" ht="13.5" customHeight="1">
      <c r="D587" s="48"/>
    </row>
    <row r="588" spans="4:4" ht="13.5" customHeight="1">
      <c r="D588" s="48"/>
    </row>
    <row r="589" spans="4:4" ht="13.5" customHeight="1">
      <c r="D589" s="48"/>
    </row>
    <row r="590" spans="4:4" ht="13.5" customHeight="1">
      <c r="D590" s="48"/>
    </row>
    <row r="591" spans="4:4" ht="13.5" customHeight="1">
      <c r="D591" s="48"/>
    </row>
    <row r="592" spans="4:4" ht="13.5" customHeight="1">
      <c r="D592" s="48"/>
    </row>
    <row r="593" spans="4:4" ht="13.5" customHeight="1">
      <c r="D593" s="48"/>
    </row>
    <row r="594" spans="4:4" ht="13.5" customHeight="1">
      <c r="D594" s="48"/>
    </row>
    <row r="595" spans="4:4" ht="13.5" customHeight="1">
      <c r="D595" s="48"/>
    </row>
    <row r="596" spans="4:4" ht="13.5" customHeight="1">
      <c r="D596" s="48"/>
    </row>
    <row r="597" spans="4:4" ht="13.5" customHeight="1">
      <c r="D597" s="48"/>
    </row>
    <row r="598" spans="4:4" ht="13.5" customHeight="1">
      <c r="D598" s="48"/>
    </row>
    <row r="599" spans="4:4" ht="13.5" customHeight="1">
      <c r="D599" s="48"/>
    </row>
    <row r="600" spans="4:4" ht="13.5" customHeight="1">
      <c r="D600" s="48"/>
    </row>
    <row r="601" spans="4:4" ht="13.5" customHeight="1">
      <c r="D601" s="48"/>
    </row>
    <row r="602" spans="4:4" ht="13.5" customHeight="1">
      <c r="D602" s="48"/>
    </row>
    <row r="603" spans="4:4" ht="13.5" customHeight="1">
      <c r="D603" s="48"/>
    </row>
    <row r="604" spans="4:4" ht="13.5" customHeight="1">
      <c r="D604" s="48"/>
    </row>
    <row r="605" spans="4:4" ht="13.5" customHeight="1">
      <c r="D605" s="48"/>
    </row>
    <row r="606" spans="4:4" ht="13.5" customHeight="1">
      <c r="D606" s="48"/>
    </row>
    <row r="607" spans="4:4" ht="13.5" customHeight="1">
      <c r="D607" s="48"/>
    </row>
    <row r="608" spans="4:4" ht="13.5" customHeight="1">
      <c r="D608" s="48"/>
    </row>
    <row r="609" spans="4:4" ht="13.5" customHeight="1">
      <c r="D609" s="48"/>
    </row>
    <row r="610" spans="4:4" ht="13.5" customHeight="1">
      <c r="D610" s="48"/>
    </row>
    <row r="611" spans="4:4" ht="13.5" customHeight="1">
      <c r="D611" s="48"/>
    </row>
    <row r="612" spans="4:4" ht="13.5" customHeight="1">
      <c r="D612" s="48"/>
    </row>
    <row r="613" spans="4:4" ht="13.5" customHeight="1">
      <c r="D613" s="48"/>
    </row>
    <row r="614" spans="4:4" ht="13.5" customHeight="1">
      <c r="D614" s="48"/>
    </row>
    <row r="615" spans="4:4" ht="13.5" customHeight="1">
      <c r="D615" s="48"/>
    </row>
    <row r="616" spans="4:4" ht="13.5" customHeight="1">
      <c r="D616" s="48"/>
    </row>
    <row r="617" spans="4:4" ht="13.5" customHeight="1">
      <c r="D617" s="48"/>
    </row>
    <row r="618" spans="4:4" ht="13.5" customHeight="1">
      <c r="D618" s="48"/>
    </row>
    <row r="619" spans="4:4" ht="13.5" customHeight="1">
      <c r="D619" s="48"/>
    </row>
    <row r="620" spans="4:4" ht="13.5" customHeight="1">
      <c r="D620" s="48"/>
    </row>
    <row r="621" spans="4:4" ht="13.5" customHeight="1">
      <c r="D621" s="48"/>
    </row>
    <row r="622" spans="4:4" ht="13.5" customHeight="1">
      <c r="D622" s="48"/>
    </row>
    <row r="623" spans="4:4" ht="13.5" customHeight="1">
      <c r="D623" s="48"/>
    </row>
    <row r="624" spans="4:4" ht="13.5" customHeight="1">
      <c r="D624" s="48"/>
    </row>
    <row r="625" spans="4:4" ht="13.5" customHeight="1">
      <c r="D625" s="48"/>
    </row>
    <row r="626" spans="4:4" ht="13.5" customHeight="1">
      <c r="D626" s="48"/>
    </row>
    <row r="627" spans="4:4" ht="13.5" customHeight="1">
      <c r="D627" s="48"/>
    </row>
    <row r="628" spans="4:4" ht="13.5" customHeight="1">
      <c r="D628" s="48"/>
    </row>
    <row r="629" spans="4:4" ht="13.5" customHeight="1">
      <c r="D629" s="48"/>
    </row>
    <row r="630" spans="4:4" ht="13.5" customHeight="1">
      <c r="D630" s="48"/>
    </row>
    <row r="631" spans="4:4" ht="13.5" customHeight="1">
      <c r="D631" s="48"/>
    </row>
    <row r="632" spans="4:4" ht="13.5" customHeight="1">
      <c r="D632" s="48"/>
    </row>
    <row r="633" spans="4:4" ht="13.5" customHeight="1">
      <c r="D633" s="48"/>
    </row>
    <row r="634" spans="4:4" ht="13.5" customHeight="1">
      <c r="D634" s="48"/>
    </row>
    <row r="635" spans="4:4" ht="13.5" customHeight="1">
      <c r="D635" s="48"/>
    </row>
    <row r="636" spans="4:4" ht="13.5" customHeight="1">
      <c r="D636" s="48"/>
    </row>
    <row r="637" spans="4:4" ht="13.5" customHeight="1">
      <c r="D637" s="48"/>
    </row>
    <row r="638" spans="4:4" ht="13.5" customHeight="1">
      <c r="D638" s="48"/>
    </row>
    <row r="639" spans="4:4" ht="13.5" customHeight="1">
      <c r="D639" s="48"/>
    </row>
    <row r="640" spans="4:4" ht="13.5" customHeight="1">
      <c r="D640" s="48"/>
    </row>
    <row r="641" spans="4:4" ht="13.5" customHeight="1">
      <c r="D641" s="48"/>
    </row>
    <row r="642" spans="4:4" ht="13.5" customHeight="1">
      <c r="D642" s="48"/>
    </row>
    <row r="643" spans="4:4" ht="13.5" customHeight="1">
      <c r="D643" s="48"/>
    </row>
    <row r="644" spans="4:4" ht="13.5" customHeight="1">
      <c r="D644" s="48"/>
    </row>
    <row r="645" spans="4:4" ht="13.5" customHeight="1">
      <c r="D645" s="48"/>
    </row>
    <row r="646" spans="4:4" ht="13.5" customHeight="1">
      <c r="D646" s="48"/>
    </row>
    <row r="647" spans="4:4" ht="13.5" customHeight="1">
      <c r="D647" s="48"/>
    </row>
    <row r="648" spans="4:4" ht="13.5" customHeight="1">
      <c r="D648" s="48"/>
    </row>
    <row r="649" spans="4:4" ht="13.5" customHeight="1">
      <c r="D649" s="48"/>
    </row>
    <row r="650" spans="4:4" ht="13.5" customHeight="1">
      <c r="D650" s="48"/>
    </row>
    <row r="651" spans="4:4" ht="13.5" customHeight="1">
      <c r="D651" s="48"/>
    </row>
    <row r="652" spans="4:4" ht="13.5" customHeight="1">
      <c r="D652" s="48"/>
    </row>
    <row r="653" spans="4:4" ht="13.5" customHeight="1">
      <c r="D653" s="48"/>
    </row>
    <row r="654" spans="4:4" ht="13.5" customHeight="1">
      <c r="D654" s="48"/>
    </row>
    <row r="655" spans="4:4" ht="13.5" customHeight="1">
      <c r="D655" s="48"/>
    </row>
    <row r="656" spans="4:4" ht="13.5" customHeight="1">
      <c r="D656" s="48"/>
    </row>
    <row r="657" spans="4:4" ht="13.5" customHeight="1">
      <c r="D657" s="48"/>
    </row>
    <row r="658" spans="4:4" ht="13.5" customHeight="1">
      <c r="D658" s="48"/>
    </row>
    <row r="659" spans="4:4" ht="13.5" customHeight="1">
      <c r="D659" s="48"/>
    </row>
    <row r="660" spans="4:4" ht="13.5" customHeight="1">
      <c r="D660" s="48"/>
    </row>
    <row r="661" spans="4:4" ht="13.5" customHeight="1">
      <c r="D661" s="48"/>
    </row>
    <row r="662" spans="4:4" ht="13.5" customHeight="1">
      <c r="D662" s="48"/>
    </row>
    <row r="663" spans="4:4" ht="13.5" customHeight="1">
      <c r="D663" s="48"/>
    </row>
    <row r="664" spans="4:4" ht="13.5" customHeight="1">
      <c r="D664" s="48"/>
    </row>
    <row r="665" spans="4:4" ht="13.5" customHeight="1">
      <c r="D665" s="48"/>
    </row>
    <row r="666" spans="4:4" ht="13.5" customHeight="1">
      <c r="D666" s="48"/>
    </row>
    <row r="667" spans="4:4" ht="13.5" customHeight="1">
      <c r="D667" s="48"/>
    </row>
    <row r="668" spans="4:4" ht="13.5" customHeight="1">
      <c r="D668" s="48"/>
    </row>
    <row r="669" spans="4:4" ht="13.5" customHeight="1">
      <c r="D669" s="48"/>
    </row>
    <row r="670" spans="4:4" ht="13.5" customHeight="1">
      <c r="D670" s="48"/>
    </row>
    <row r="671" spans="4:4" ht="13.5" customHeight="1">
      <c r="D671" s="48"/>
    </row>
    <row r="672" spans="4:4" ht="13.5" customHeight="1">
      <c r="D672" s="48"/>
    </row>
    <row r="673" spans="4:4" ht="13.5" customHeight="1">
      <c r="D673" s="48"/>
    </row>
    <row r="674" spans="4:4" ht="13.5" customHeight="1">
      <c r="D674" s="48"/>
    </row>
    <row r="675" spans="4:4" ht="13.5" customHeight="1">
      <c r="D675" s="48"/>
    </row>
    <row r="676" spans="4:4" ht="13.5" customHeight="1">
      <c r="D676" s="48"/>
    </row>
    <row r="677" spans="4:4" ht="13.5" customHeight="1">
      <c r="D677" s="48"/>
    </row>
    <row r="678" spans="4:4" ht="13.5" customHeight="1">
      <c r="D678" s="48"/>
    </row>
    <row r="679" spans="4:4" ht="13.5" customHeight="1">
      <c r="D679" s="48"/>
    </row>
    <row r="680" spans="4:4" ht="13.5" customHeight="1">
      <c r="D680" s="48"/>
    </row>
    <row r="681" spans="4:4" ht="13.5" customHeight="1">
      <c r="D681" s="48"/>
    </row>
    <row r="682" spans="4:4" ht="13.5" customHeight="1">
      <c r="D682" s="48"/>
    </row>
    <row r="683" spans="4:4" ht="13.5" customHeight="1">
      <c r="D683" s="48"/>
    </row>
    <row r="684" spans="4:4" ht="13.5" customHeight="1">
      <c r="D684" s="48"/>
    </row>
    <row r="685" spans="4:4" ht="13.5" customHeight="1">
      <c r="D685" s="48"/>
    </row>
    <row r="686" spans="4:4" ht="13.5" customHeight="1">
      <c r="D686" s="48"/>
    </row>
    <row r="687" spans="4:4" ht="13.5" customHeight="1">
      <c r="D687" s="48"/>
    </row>
    <row r="688" spans="4:4" ht="13.5" customHeight="1">
      <c r="D688" s="48"/>
    </row>
    <row r="689" spans="4:4" ht="13.5" customHeight="1">
      <c r="D689" s="48"/>
    </row>
    <row r="690" spans="4:4" ht="13.5" customHeight="1">
      <c r="D690" s="48"/>
    </row>
    <row r="691" spans="4:4" ht="13.5" customHeight="1">
      <c r="D691" s="48"/>
    </row>
    <row r="692" spans="4:4" ht="13.5" customHeight="1">
      <c r="D692" s="48"/>
    </row>
    <row r="693" spans="4:4" ht="13.5" customHeight="1">
      <c r="D693" s="48"/>
    </row>
    <row r="694" spans="4:4" ht="13.5" customHeight="1">
      <c r="D694" s="48"/>
    </row>
    <row r="695" spans="4:4" ht="13.5" customHeight="1">
      <c r="D695" s="48"/>
    </row>
    <row r="696" spans="4:4" ht="13.5" customHeight="1">
      <c r="D696" s="48"/>
    </row>
    <row r="697" spans="4:4" ht="13.5" customHeight="1">
      <c r="D697" s="48"/>
    </row>
    <row r="698" spans="4:4" ht="13.5" customHeight="1">
      <c r="D698" s="48"/>
    </row>
    <row r="699" spans="4:4" ht="13.5" customHeight="1">
      <c r="D699" s="48"/>
    </row>
    <row r="700" spans="4:4" ht="13.5" customHeight="1">
      <c r="D700" s="48"/>
    </row>
    <row r="701" spans="4:4" ht="13.5" customHeight="1">
      <c r="D701" s="48"/>
    </row>
    <row r="702" spans="4:4" ht="13.5" customHeight="1">
      <c r="D702" s="48"/>
    </row>
    <row r="703" spans="4:4" ht="13.5" customHeight="1">
      <c r="D703" s="48"/>
    </row>
    <row r="704" spans="4:4" ht="13.5" customHeight="1">
      <c r="D704" s="48"/>
    </row>
    <row r="705" spans="4:4" ht="13.5" customHeight="1">
      <c r="D705" s="48"/>
    </row>
    <row r="706" spans="4:4" ht="13.5" customHeight="1">
      <c r="D706" s="48"/>
    </row>
    <row r="707" spans="4:4" ht="13.5" customHeight="1">
      <c r="D707" s="48"/>
    </row>
    <row r="708" spans="4:4" ht="13.5" customHeight="1">
      <c r="D708" s="48"/>
    </row>
    <row r="709" spans="4:4" ht="13.5" customHeight="1">
      <c r="D709" s="48"/>
    </row>
    <row r="710" spans="4:4" ht="13.5" customHeight="1">
      <c r="D710" s="48"/>
    </row>
    <row r="711" spans="4:4" ht="13.5" customHeight="1">
      <c r="D711" s="48"/>
    </row>
    <row r="712" spans="4:4" ht="13.5" customHeight="1">
      <c r="D712" s="48"/>
    </row>
    <row r="713" spans="4:4" ht="13.5" customHeight="1">
      <c r="D713" s="48"/>
    </row>
    <row r="714" spans="4:4" ht="13.5" customHeight="1">
      <c r="D714" s="48"/>
    </row>
    <row r="715" spans="4:4" ht="13.5" customHeight="1">
      <c r="D715" s="48"/>
    </row>
    <row r="716" spans="4:4" ht="13.5" customHeight="1">
      <c r="D716" s="48"/>
    </row>
    <row r="717" spans="4:4" ht="13.5" customHeight="1">
      <c r="D717" s="48"/>
    </row>
    <row r="718" spans="4:4" ht="13.5" customHeight="1">
      <c r="D718" s="48"/>
    </row>
    <row r="719" spans="4:4" ht="13.5" customHeight="1">
      <c r="D719" s="48"/>
    </row>
    <row r="720" spans="4:4" ht="13.5" customHeight="1">
      <c r="D720" s="48"/>
    </row>
    <row r="721" spans="4:4" ht="13.5" customHeight="1">
      <c r="D721" s="48"/>
    </row>
    <row r="722" spans="4:4" ht="13.5" customHeight="1">
      <c r="D722" s="48"/>
    </row>
    <row r="723" spans="4:4" ht="13.5" customHeight="1">
      <c r="D723" s="48"/>
    </row>
    <row r="724" spans="4:4" ht="13.5" customHeight="1">
      <c r="D724" s="48"/>
    </row>
    <row r="725" spans="4:4" ht="13.5" customHeight="1">
      <c r="D725" s="48"/>
    </row>
    <row r="726" spans="4:4" ht="13.5" customHeight="1">
      <c r="D726" s="48"/>
    </row>
    <row r="727" spans="4:4" ht="13.5" customHeight="1">
      <c r="D727" s="48"/>
    </row>
    <row r="728" spans="4:4" ht="13.5" customHeight="1">
      <c r="D728" s="48"/>
    </row>
    <row r="729" spans="4:4" ht="13.5" customHeight="1">
      <c r="D729" s="48"/>
    </row>
    <row r="730" spans="4:4" ht="13.5" customHeight="1">
      <c r="D730" s="48"/>
    </row>
    <row r="731" spans="4:4" ht="13.5" customHeight="1">
      <c r="D731" s="48"/>
    </row>
    <row r="732" spans="4:4" ht="13.5" customHeight="1">
      <c r="D732" s="48"/>
    </row>
    <row r="733" spans="4:4" ht="13.5" customHeight="1">
      <c r="D733" s="48"/>
    </row>
    <row r="734" spans="4:4" ht="13.5" customHeight="1">
      <c r="D734" s="48"/>
    </row>
    <row r="735" spans="4:4" ht="13.5" customHeight="1">
      <c r="D735" s="48"/>
    </row>
    <row r="736" spans="4:4" ht="13.5" customHeight="1">
      <c r="D736" s="48"/>
    </row>
    <row r="737" spans="4:4" ht="13.5" customHeight="1">
      <c r="D737" s="48"/>
    </row>
    <row r="738" spans="4:4" ht="13.5" customHeight="1">
      <c r="D738" s="48"/>
    </row>
    <row r="739" spans="4:4" ht="13.5" customHeight="1">
      <c r="D739" s="48"/>
    </row>
    <row r="740" spans="4:4" ht="13.5" customHeight="1">
      <c r="D740" s="48"/>
    </row>
    <row r="741" spans="4:4" ht="13.5" customHeight="1">
      <c r="D741" s="48"/>
    </row>
    <row r="742" spans="4:4" ht="13.5" customHeight="1">
      <c r="D742" s="48"/>
    </row>
    <row r="743" spans="4:4" ht="13.5" customHeight="1">
      <c r="D743" s="48"/>
    </row>
    <row r="744" spans="4:4" ht="13.5" customHeight="1">
      <c r="D744" s="48"/>
    </row>
    <row r="745" spans="4:4" ht="13.5" customHeight="1">
      <c r="D745" s="48"/>
    </row>
    <row r="746" spans="4:4" ht="13.5" customHeight="1">
      <c r="D746" s="48"/>
    </row>
    <row r="747" spans="4:4" ht="13.5" customHeight="1">
      <c r="D747" s="48"/>
    </row>
    <row r="748" spans="4:4" ht="13.5" customHeight="1">
      <c r="D748" s="48"/>
    </row>
    <row r="749" spans="4:4" ht="13.5" customHeight="1">
      <c r="D749" s="48"/>
    </row>
    <row r="750" spans="4:4" ht="13.5" customHeight="1">
      <c r="D750" s="48"/>
    </row>
    <row r="751" spans="4:4" ht="13.5" customHeight="1">
      <c r="D751" s="48"/>
    </row>
    <row r="752" spans="4:4" ht="13.5" customHeight="1">
      <c r="D752" s="48"/>
    </row>
    <row r="753" spans="4:4" ht="13.5" customHeight="1">
      <c r="D753" s="48"/>
    </row>
    <row r="754" spans="4:4" ht="13.5" customHeight="1">
      <c r="D754" s="48"/>
    </row>
    <row r="755" spans="4:4" ht="13.5" customHeight="1">
      <c r="D755" s="48"/>
    </row>
    <row r="756" spans="4:4" ht="13.5" customHeight="1">
      <c r="D756" s="48"/>
    </row>
    <row r="757" spans="4:4" ht="13.5" customHeight="1">
      <c r="D757" s="48"/>
    </row>
    <row r="758" spans="4:4" ht="13.5" customHeight="1">
      <c r="D758" s="48"/>
    </row>
    <row r="759" spans="4:4" ht="13.5" customHeight="1">
      <c r="D759" s="48"/>
    </row>
    <row r="760" spans="4:4" ht="13.5" customHeight="1">
      <c r="D760" s="48"/>
    </row>
    <row r="761" spans="4:4" ht="13.5" customHeight="1">
      <c r="D761" s="48"/>
    </row>
    <row r="762" spans="4:4" ht="13.5" customHeight="1">
      <c r="D762" s="48"/>
    </row>
    <row r="763" spans="4:4" ht="13.5" customHeight="1">
      <c r="D763" s="48"/>
    </row>
    <row r="764" spans="4:4" ht="13.5" customHeight="1">
      <c r="D764" s="48"/>
    </row>
    <row r="765" spans="4:4" ht="13.5" customHeight="1">
      <c r="D765" s="48"/>
    </row>
    <row r="766" spans="4:4" ht="13.5" customHeight="1">
      <c r="D766" s="48"/>
    </row>
    <row r="767" spans="4:4" ht="13.5" customHeight="1">
      <c r="D767" s="48"/>
    </row>
    <row r="768" spans="4:4" ht="13.5" customHeight="1">
      <c r="D768" s="48"/>
    </row>
    <row r="769" spans="4:4" ht="13.5" customHeight="1">
      <c r="D769" s="48"/>
    </row>
    <row r="770" spans="4:4" ht="13.5" customHeight="1">
      <c r="D770" s="48"/>
    </row>
    <row r="771" spans="4:4" ht="13.5" customHeight="1">
      <c r="D771" s="48"/>
    </row>
    <row r="772" spans="4:4" ht="13.5" customHeight="1">
      <c r="D772" s="48"/>
    </row>
    <row r="773" spans="4:4" ht="13.5" customHeight="1">
      <c r="D773" s="48"/>
    </row>
    <row r="774" spans="4:4" ht="13.5" customHeight="1">
      <c r="D774" s="48"/>
    </row>
    <row r="775" spans="4:4" ht="13.5" customHeight="1">
      <c r="D775" s="48"/>
    </row>
    <row r="776" spans="4:4" ht="13.5" customHeight="1">
      <c r="D776" s="48"/>
    </row>
    <row r="777" spans="4:4" ht="13.5" customHeight="1">
      <c r="D777" s="48"/>
    </row>
    <row r="778" spans="4:4" ht="13.5" customHeight="1">
      <c r="D778" s="48"/>
    </row>
    <row r="779" spans="4:4" ht="13.5" customHeight="1">
      <c r="D779" s="48"/>
    </row>
    <row r="780" spans="4:4" ht="13.5" customHeight="1">
      <c r="D780" s="48"/>
    </row>
    <row r="781" spans="4:4" ht="13.5" customHeight="1">
      <c r="D781" s="48"/>
    </row>
    <row r="782" spans="4:4" ht="13.5" customHeight="1">
      <c r="D782" s="48"/>
    </row>
    <row r="783" spans="4:4" ht="13.5" customHeight="1">
      <c r="D783" s="48"/>
    </row>
    <row r="784" spans="4:4" ht="13.5" customHeight="1">
      <c r="D784" s="48"/>
    </row>
    <row r="785" spans="4:4" ht="13.5" customHeight="1">
      <c r="D785" s="48"/>
    </row>
    <row r="786" spans="4:4" ht="13.5" customHeight="1">
      <c r="D786" s="48"/>
    </row>
    <row r="787" spans="4:4" ht="13.5" customHeight="1">
      <c r="D787" s="48"/>
    </row>
    <row r="788" spans="4:4" ht="13.5" customHeight="1">
      <c r="D788" s="48"/>
    </row>
    <row r="789" spans="4:4" ht="13.5" customHeight="1">
      <c r="D789" s="48"/>
    </row>
    <row r="790" spans="4:4" ht="13.5" customHeight="1">
      <c r="D790" s="48"/>
    </row>
    <row r="791" spans="4:4" ht="13.5" customHeight="1">
      <c r="D791" s="48"/>
    </row>
    <row r="792" spans="4:4" ht="13.5" customHeight="1">
      <c r="D792" s="48"/>
    </row>
    <row r="793" spans="4:4" ht="13.5" customHeight="1">
      <c r="D793" s="48"/>
    </row>
    <row r="794" spans="4:4" ht="13.5" customHeight="1">
      <c r="D794" s="48"/>
    </row>
    <row r="795" spans="4:4" ht="13.5" customHeight="1">
      <c r="D795" s="48"/>
    </row>
    <row r="796" spans="4:4" ht="13.5" customHeight="1">
      <c r="D796" s="48"/>
    </row>
    <row r="797" spans="4:4" ht="13.5" customHeight="1">
      <c r="D797" s="48"/>
    </row>
    <row r="798" spans="4:4" ht="13.5" customHeight="1">
      <c r="D798" s="48"/>
    </row>
    <row r="799" spans="4:4" ht="13.5" customHeight="1">
      <c r="D799" s="48"/>
    </row>
    <row r="800" spans="4:4" ht="13.5" customHeight="1">
      <c r="D800" s="48"/>
    </row>
    <row r="801" spans="4:4" ht="13.5" customHeight="1">
      <c r="D801" s="48"/>
    </row>
    <row r="802" spans="4:4" ht="13.5" customHeight="1">
      <c r="D802" s="48"/>
    </row>
    <row r="803" spans="4:4" ht="13.5" customHeight="1">
      <c r="D803" s="48"/>
    </row>
    <row r="804" spans="4:4" ht="13.5" customHeight="1">
      <c r="D804" s="48"/>
    </row>
    <row r="805" spans="4:4" ht="13.5" customHeight="1">
      <c r="D805" s="48"/>
    </row>
    <row r="806" spans="4:4" ht="13.5" customHeight="1">
      <c r="D806" s="48"/>
    </row>
    <row r="807" spans="4:4" ht="13.5" customHeight="1">
      <c r="D807" s="48"/>
    </row>
    <row r="808" spans="4:4" ht="13.5" customHeight="1">
      <c r="D808" s="48"/>
    </row>
    <row r="809" spans="4:4" ht="13.5" customHeight="1">
      <c r="D809" s="48"/>
    </row>
    <row r="810" spans="4:4" ht="13.5" customHeight="1">
      <c r="D810" s="48"/>
    </row>
    <row r="811" spans="4:4" ht="13.5" customHeight="1">
      <c r="D811" s="48"/>
    </row>
    <row r="812" spans="4:4" ht="13.5" customHeight="1">
      <c r="D812" s="48"/>
    </row>
    <row r="813" spans="4:4" ht="13.5" customHeight="1">
      <c r="D813" s="48"/>
    </row>
    <row r="814" spans="4:4" ht="13.5" customHeight="1">
      <c r="D814" s="48"/>
    </row>
    <row r="815" spans="4:4" ht="13.5" customHeight="1">
      <c r="D815" s="48"/>
    </row>
    <row r="816" spans="4:4" ht="13.5" customHeight="1">
      <c r="D816" s="48"/>
    </row>
    <row r="817" spans="4:4" ht="13.5" customHeight="1">
      <c r="D817" s="48"/>
    </row>
    <row r="818" spans="4:4" ht="13.5" customHeight="1">
      <c r="D818" s="48"/>
    </row>
    <row r="819" spans="4:4" ht="13.5" customHeight="1">
      <c r="D819" s="48"/>
    </row>
    <row r="820" spans="4:4" ht="13.5" customHeight="1">
      <c r="D820" s="48"/>
    </row>
    <row r="821" spans="4:4" ht="13.5" customHeight="1">
      <c r="D821" s="48"/>
    </row>
    <row r="822" spans="4:4" ht="13.5" customHeight="1">
      <c r="D822" s="48"/>
    </row>
    <row r="823" spans="4:4" ht="13.5" customHeight="1">
      <c r="D823" s="48"/>
    </row>
    <row r="824" spans="4:4" ht="13.5" customHeight="1">
      <c r="D824" s="48"/>
    </row>
    <row r="825" spans="4:4" ht="13.5" customHeight="1">
      <c r="D825" s="48"/>
    </row>
    <row r="826" spans="4:4" ht="13.5" customHeight="1">
      <c r="D826" s="48"/>
    </row>
    <row r="827" spans="4:4" ht="13.5" customHeight="1">
      <c r="D827" s="48"/>
    </row>
    <row r="828" spans="4:4" ht="13.5" customHeight="1">
      <c r="D828" s="48"/>
    </row>
    <row r="829" spans="4:4" ht="13.5" customHeight="1">
      <c r="D829" s="48"/>
    </row>
    <row r="830" spans="4:4" ht="13.5" customHeight="1">
      <c r="D830" s="48"/>
    </row>
    <row r="831" spans="4:4" ht="13.5" customHeight="1">
      <c r="D831" s="48"/>
    </row>
    <row r="832" spans="4:4" ht="13.5" customHeight="1">
      <c r="D832" s="48"/>
    </row>
    <row r="833" spans="4:4" ht="13.5" customHeight="1">
      <c r="D833" s="48"/>
    </row>
    <row r="834" spans="4:4" ht="13.5" customHeight="1">
      <c r="D834" s="48"/>
    </row>
    <row r="835" spans="4:4" ht="13.5" customHeight="1">
      <c r="D835" s="48"/>
    </row>
    <row r="836" spans="4:4" ht="13.5" customHeight="1">
      <c r="D836" s="48"/>
    </row>
    <row r="837" spans="4:4" ht="13.5" customHeight="1">
      <c r="D837" s="48"/>
    </row>
    <row r="838" spans="4:4" ht="13.5" customHeight="1">
      <c r="D838" s="48"/>
    </row>
    <row r="839" spans="4:4" ht="13.5" customHeight="1">
      <c r="D839" s="48"/>
    </row>
    <row r="840" spans="4:4" ht="13.5" customHeight="1">
      <c r="D840" s="48"/>
    </row>
    <row r="841" spans="4:4" ht="13.5" customHeight="1">
      <c r="D841" s="48"/>
    </row>
    <row r="842" spans="4:4" ht="13.5" customHeight="1">
      <c r="D842" s="48"/>
    </row>
    <row r="843" spans="4:4" ht="13.5" customHeight="1">
      <c r="D843" s="48"/>
    </row>
    <row r="844" spans="4:4" ht="13.5" customHeight="1">
      <c r="D844" s="48"/>
    </row>
    <row r="845" spans="4:4" ht="13.5" customHeight="1">
      <c r="D845" s="48"/>
    </row>
    <row r="846" spans="4:4" ht="13.5" customHeight="1">
      <c r="D846" s="48"/>
    </row>
    <row r="847" spans="4:4" ht="13.5" customHeight="1">
      <c r="D847" s="48"/>
    </row>
    <row r="848" spans="4:4" ht="13.5" customHeight="1">
      <c r="D848" s="48"/>
    </row>
    <row r="849" spans="4:4" ht="13.5" customHeight="1">
      <c r="D849" s="48"/>
    </row>
    <row r="850" spans="4:4" ht="13.5" customHeight="1">
      <c r="D850" s="48"/>
    </row>
    <row r="851" spans="4:4" ht="13.5" customHeight="1">
      <c r="D851" s="48"/>
    </row>
    <row r="852" spans="4:4" ht="13.5" customHeight="1">
      <c r="D852" s="48"/>
    </row>
    <row r="853" spans="4:4" ht="13.5" customHeight="1">
      <c r="D853" s="48"/>
    </row>
    <row r="854" spans="4:4" ht="13.5" customHeight="1">
      <c r="D854" s="48"/>
    </row>
    <row r="855" spans="4:4" ht="13.5" customHeight="1">
      <c r="D855" s="48"/>
    </row>
    <row r="856" spans="4:4" ht="13.5" customHeight="1">
      <c r="D856" s="48"/>
    </row>
    <row r="857" spans="4:4" ht="13.5" customHeight="1">
      <c r="D857" s="48"/>
    </row>
    <row r="858" spans="4:4" ht="13.5" customHeight="1">
      <c r="D858" s="48"/>
    </row>
    <row r="859" spans="4:4" ht="13.5" customHeight="1">
      <c r="D859" s="48"/>
    </row>
    <row r="860" spans="4:4" ht="13.5" customHeight="1">
      <c r="D860" s="48"/>
    </row>
    <row r="861" spans="4:4" ht="13.5" customHeight="1">
      <c r="D861" s="48"/>
    </row>
    <row r="862" spans="4:4" ht="13.5" customHeight="1">
      <c r="D862" s="48"/>
    </row>
    <row r="863" spans="4:4" ht="13.5" customHeight="1">
      <c r="D863" s="48"/>
    </row>
    <row r="864" spans="4:4" ht="13.5" customHeight="1">
      <c r="D864" s="48"/>
    </row>
    <row r="865" spans="4:4" ht="13.5" customHeight="1">
      <c r="D865" s="48"/>
    </row>
    <row r="866" spans="4:4" ht="13.5" customHeight="1">
      <c r="D866" s="48"/>
    </row>
    <row r="867" spans="4:4" ht="13.5" customHeight="1">
      <c r="D867" s="48"/>
    </row>
    <row r="868" spans="4:4" ht="13.5" customHeight="1">
      <c r="D868" s="48"/>
    </row>
    <row r="869" spans="4:4" ht="13.5" customHeight="1">
      <c r="D869" s="48"/>
    </row>
    <row r="870" spans="4:4" ht="13.5" customHeight="1">
      <c r="D870" s="48"/>
    </row>
    <row r="871" spans="4:4" ht="13.5" customHeight="1">
      <c r="D871" s="48"/>
    </row>
    <row r="872" spans="4:4" ht="13.5" customHeight="1">
      <c r="D872" s="48"/>
    </row>
    <row r="873" spans="4:4" ht="13.5" customHeight="1">
      <c r="D873" s="48"/>
    </row>
    <row r="874" spans="4:4" ht="13.5" customHeight="1">
      <c r="D874" s="48"/>
    </row>
    <row r="875" spans="4:4" ht="13.5" customHeight="1">
      <c r="D875" s="48"/>
    </row>
    <row r="876" spans="4:4" ht="13.5" customHeight="1">
      <c r="D876" s="48"/>
    </row>
    <row r="877" spans="4:4" ht="13.5" customHeight="1">
      <c r="D877" s="48"/>
    </row>
    <row r="878" spans="4:4" ht="13.5" customHeight="1">
      <c r="D878" s="48"/>
    </row>
    <row r="879" spans="4:4" ht="13.5" customHeight="1">
      <c r="D879" s="48"/>
    </row>
    <row r="880" spans="4:4" ht="13.5" customHeight="1">
      <c r="D880" s="48"/>
    </row>
    <row r="881" spans="4:4" ht="13.5" customHeight="1">
      <c r="D881" s="48"/>
    </row>
    <row r="882" spans="4:4" ht="13.5" customHeight="1">
      <c r="D882" s="48"/>
    </row>
    <row r="883" spans="4:4" ht="13.5" customHeight="1">
      <c r="D883" s="48"/>
    </row>
    <row r="884" spans="4:4" ht="13.5" customHeight="1">
      <c r="D884" s="48"/>
    </row>
    <row r="885" spans="4:4" ht="13.5" customHeight="1">
      <c r="D885" s="48"/>
    </row>
    <row r="886" spans="4:4" ht="13.5" customHeight="1">
      <c r="D886" s="48"/>
    </row>
    <row r="887" spans="4:4" ht="13.5" customHeight="1">
      <c r="D887" s="48"/>
    </row>
    <row r="888" spans="4:4" ht="13.5" customHeight="1">
      <c r="D888" s="48"/>
    </row>
    <row r="889" spans="4:4" ht="13.5" customHeight="1">
      <c r="D889" s="48"/>
    </row>
    <row r="890" spans="4:4" ht="13.5" customHeight="1">
      <c r="D890" s="48"/>
    </row>
    <row r="891" spans="4:4" ht="13.5" customHeight="1">
      <c r="D891" s="48"/>
    </row>
    <row r="892" spans="4:4" ht="13.5" customHeight="1">
      <c r="D892" s="48"/>
    </row>
    <row r="893" spans="4:4" ht="13.5" customHeight="1">
      <c r="D893" s="48"/>
    </row>
    <row r="894" spans="4:4" ht="13.5" customHeight="1">
      <c r="D894" s="48"/>
    </row>
    <row r="895" spans="4:4" ht="13.5" customHeight="1">
      <c r="D895" s="48"/>
    </row>
    <row r="896" spans="4:4" ht="13.5" customHeight="1">
      <c r="D896" s="48"/>
    </row>
    <row r="897" spans="4:4" ht="13.5" customHeight="1">
      <c r="D897" s="48"/>
    </row>
    <row r="898" spans="4:4" ht="13.5" customHeight="1">
      <c r="D898" s="48"/>
    </row>
    <row r="899" spans="4:4" ht="13.5" customHeight="1">
      <c r="D899" s="48"/>
    </row>
    <row r="900" spans="4:4" ht="13.5" customHeight="1">
      <c r="D900" s="48"/>
    </row>
    <row r="901" spans="4:4" ht="13.5" customHeight="1">
      <c r="D901" s="48"/>
    </row>
    <row r="902" spans="4:4" ht="13.5" customHeight="1">
      <c r="D902" s="48"/>
    </row>
    <row r="903" spans="4:4" ht="13.5" customHeight="1">
      <c r="D903" s="48"/>
    </row>
    <row r="904" spans="4:4" ht="13.5" customHeight="1">
      <c r="D904" s="48"/>
    </row>
    <row r="905" spans="4:4" ht="13.5" customHeight="1">
      <c r="D905" s="48"/>
    </row>
    <row r="906" spans="4:4" ht="13.5" customHeight="1">
      <c r="D906" s="48"/>
    </row>
    <row r="907" spans="4:4" ht="13.5" customHeight="1">
      <c r="D907" s="48"/>
    </row>
    <row r="908" spans="4:4" ht="13.5" customHeight="1">
      <c r="D908" s="48"/>
    </row>
    <row r="909" spans="4:4" ht="13.5" customHeight="1">
      <c r="D909" s="48"/>
    </row>
    <row r="910" spans="4:4" ht="13.5" customHeight="1">
      <c r="D910" s="48"/>
    </row>
    <row r="911" spans="4:4" ht="13.5" customHeight="1">
      <c r="D911" s="48"/>
    </row>
    <row r="912" spans="4:4" ht="13.5" customHeight="1">
      <c r="D912" s="48"/>
    </row>
    <row r="913" spans="4:4" ht="13.5" customHeight="1">
      <c r="D913" s="48"/>
    </row>
    <row r="914" spans="4:4" ht="13.5" customHeight="1">
      <c r="D914" s="48"/>
    </row>
    <row r="915" spans="4:4" ht="13.5" customHeight="1">
      <c r="D915" s="48"/>
    </row>
    <row r="916" spans="4:4" ht="13.5" customHeight="1">
      <c r="D916" s="48"/>
    </row>
    <row r="917" spans="4:4" ht="13.5" customHeight="1">
      <c r="D917" s="48"/>
    </row>
    <row r="918" spans="4:4" ht="13.5" customHeight="1">
      <c r="D918" s="48"/>
    </row>
    <row r="919" spans="4:4" ht="13.5" customHeight="1">
      <c r="D919" s="48"/>
    </row>
    <row r="920" spans="4:4" ht="13.5" customHeight="1">
      <c r="D920" s="48"/>
    </row>
    <row r="921" spans="4:4" ht="13.5" customHeight="1">
      <c r="D921" s="48"/>
    </row>
    <row r="922" spans="4:4" ht="13.5" customHeight="1">
      <c r="D922" s="48"/>
    </row>
    <row r="923" spans="4:4" ht="13.5" customHeight="1">
      <c r="D923" s="48"/>
    </row>
    <row r="924" spans="4:4" ht="13.5" customHeight="1">
      <c r="D924" s="48"/>
    </row>
    <row r="925" spans="4:4" ht="13.5" customHeight="1">
      <c r="D925" s="48"/>
    </row>
    <row r="926" spans="4:4" ht="13.5" customHeight="1">
      <c r="D926" s="48"/>
    </row>
    <row r="927" spans="4:4" ht="13.5" customHeight="1">
      <c r="D927" s="48"/>
    </row>
    <row r="928" spans="4:4" ht="13.5" customHeight="1">
      <c r="D928" s="48"/>
    </row>
    <row r="929" spans="4:4" ht="13.5" customHeight="1">
      <c r="D929" s="48"/>
    </row>
    <row r="930" spans="4:4" ht="13.5" customHeight="1">
      <c r="D930" s="48"/>
    </row>
    <row r="931" spans="4:4" ht="13.5" customHeight="1">
      <c r="D931" s="48"/>
    </row>
    <row r="932" spans="4:4" ht="13.5" customHeight="1">
      <c r="D932" s="48"/>
    </row>
    <row r="933" spans="4:4" ht="13.5" customHeight="1">
      <c r="D933" s="48"/>
    </row>
    <row r="934" spans="4:4" ht="13.5" customHeight="1">
      <c r="D934" s="48"/>
    </row>
    <row r="935" spans="4:4" ht="13.5" customHeight="1">
      <c r="D935" s="48"/>
    </row>
    <row r="936" spans="4:4" ht="13.5" customHeight="1">
      <c r="D936" s="48"/>
    </row>
    <row r="937" spans="4:4" ht="13.5" customHeight="1">
      <c r="D937" s="48"/>
    </row>
    <row r="938" spans="4:4" ht="13.5" customHeight="1">
      <c r="D938" s="48"/>
    </row>
    <row r="939" spans="4:4" ht="13.5" customHeight="1">
      <c r="D939" s="48"/>
    </row>
    <row r="940" spans="4:4" ht="13.5" customHeight="1">
      <c r="D940" s="48"/>
    </row>
    <row r="941" spans="4:4" ht="13.5" customHeight="1">
      <c r="D941" s="48"/>
    </row>
    <row r="942" spans="4:4" ht="13.5" customHeight="1">
      <c r="D942" s="48"/>
    </row>
    <row r="943" spans="4:4" ht="13.5" customHeight="1">
      <c r="D943" s="48"/>
    </row>
    <row r="944" spans="4:4" ht="13.5" customHeight="1">
      <c r="D944" s="48"/>
    </row>
    <row r="945" spans="4:4" ht="13.5" customHeight="1">
      <c r="D945" s="48"/>
    </row>
    <row r="946" spans="4:4" ht="13.5" customHeight="1">
      <c r="D946" s="48"/>
    </row>
    <row r="947" spans="4:4" ht="13.5" customHeight="1">
      <c r="D947" s="48"/>
    </row>
    <row r="948" spans="4:4" ht="13.5" customHeight="1">
      <c r="D948" s="48"/>
    </row>
    <row r="949" spans="4:4" ht="13.5" customHeight="1">
      <c r="D949" s="48"/>
    </row>
    <row r="950" spans="4:4" ht="13.5" customHeight="1">
      <c r="D950" s="48"/>
    </row>
    <row r="951" spans="4:4" ht="13.5" customHeight="1">
      <c r="D951" s="48"/>
    </row>
    <row r="952" spans="4:4" ht="13.5" customHeight="1">
      <c r="D952" s="48"/>
    </row>
    <row r="953" spans="4:4" ht="13.5" customHeight="1">
      <c r="D953" s="48"/>
    </row>
    <row r="954" spans="4:4" ht="13.5" customHeight="1">
      <c r="D954" s="48"/>
    </row>
    <row r="955" spans="4:4" ht="13.5" customHeight="1">
      <c r="D955" s="48"/>
    </row>
    <row r="956" spans="4:4" ht="13.5" customHeight="1">
      <c r="D956" s="48"/>
    </row>
    <row r="957" spans="4:4" ht="13.5" customHeight="1">
      <c r="D957" s="48"/>
    </row>
    <row r="958" spans="4:4" ht="13.5" customHeight="1">
      <c r="D958" s="48"/>
    </row>
    <row r="959" spans="4:4" ht="13.5" customHeight="1">
      <c r="D959" s="48"/>
    </row>
    <row r="960" spans="4:4" ht="13.5" customHeight="1">
      <c r="D960" s="48"/>
    </row>
    <row r="961" spans="4:4" ht="13.5" customHeight="1">
      <c r="D961" s="48"/>
    </row>
    <row r="962" spans="4:4" ht="13.5" customHeight="1">
      <c r="D962" s="48"/>
    </row>
    <row r="963" spans="4:4" ht="13.5" customHeight="1">
      <c r="D963" s="48"/>
    </row>
    <row r="964" spans="4:4" ht="13.5" customHeight="1">
      <c r="D964" s="48"/>
    </row>
    <row r="965" spans="4:4" ht="13.5" customHeight="1">
      <c r="D965" s="48"/>
    </row>
    <row r="966" spans="4:4" ht="13.5" customHeight="1">
      <c r="D966" s="48"/>
    </row>
    <row r="967" spans="4:4" ht="13.5" customHeight="1">
      <c r="D967" s="48"/>
    </row>
    <row r="968" spans="4:4" ht="13.5" customHeight="1">
      <c r="D968" s="48"/>
    </row>
    <row r="969" spans="4:4" ht="13.5" customHeight="1">
      <c r="D969" s="48"/>
    </row>
    <row r="970" spans="4:4" ht="13.5" customHeight="1">
      <c r="D970" s="48"/>
    </row>
    <row r="971" spans="4:4" ht="13.5" customHeight="1">
      <c r="D971" s="48"/>
    </row>
    <row r="972" spans="4:4" ht="13.5" customHeight="1">
      <c r="D972" s="48"/>
    </row>
    <row r="973" spans="4:4" ht="13.5" customHeight="1">
      <c r="D973" s="48"/>
    </row>
    <row r="974" spans="4:4" ht="13.5" customHeight="1">
      <c r="D974" s="48"/>
    </row>
    <row r="975" spans="4:4" ht="13.5" customHeight="1">
      <c r="D975" s="48"/>
    </row>
    <row r="976" spans="4:4" ht="13.5" customHeight="1">
      <c r="D976" s="48"/>
    </row>
    <row r="977" spans="4:4" ht="13.5" customHeight="1">
      <c r="D977" s="48"/>
    </row>
    <row r="978" spans="4:4" ht="13.5" customHeight="1">
      <c r="D978" s="48"/>
    </row>
    <row r="979" spans="4:4" ht="13.5" customHeight="1">
      <c r="D979" s="48"/>
    </row>
    <row r="980" spans="4:4" ht="13.5" customHeight="1">
      <c r="D980" s="48"/>
    </row>
    <row r="981" spans="4:4" ht="13.5" customHeight="1">
      <c r="D981" s="48"/>
    </row>
    <row r="982" spans="4:4" ht="13.5" customHeight="1">
      <c r="D982" s="48"/>
    </row>
    <row r="983" spans="4:4" ht="13.5" customHeight="1">
      <c r="D983" s="48"/>
    </row>
    <row r="984" spans="4:4" ht="13.5" customHeight="1">
      <c r="D984" s="48"/>
    </row>
    <row r="985" spans="4:4" ht="13.5" customHeight="1">
      <c r="D985" s="48"/>
    </row>
    <row r="986" spans="4:4" ht="13.5" customHeight="1">
      <c r="D986" s="48"/>
    </row>
    <row r="987" spans="4:4" ht="13.5" customHeight="1">
      <c r="D987" s="48"/>
    </row>
    <row r="988" spans="4:4" ht="13.5" customHeight="1">
      <c r="D988" s="48"/>
    </row>
    <row r="989" spans="4:4" ht="13.5" customHeight="1">
      <c r="D989" s="48"/>
    </row>
    <row r="990" spans="4:4" ht="13.5" customHeight="1">
      <c r="D990" s="48"/>
    </row>
    <row r="991" spans="4:4" ht="13.5" customHeight="1">
      <c r="D991" s="48"/>
    </row>
    <row r="992" spans="4:4" ht="13.5" customHeight="1">
      <c r="D992" s="48"/>
    </row>
    <row r="993" spans="4:4" ht="13.5" customHeight="1">
      <c r="D993" s="48"/>
    </row>
    <row r="994" spans="4:4" ht="13.5" customHeight="1">
      <c r="D994" s="48"/>
    </row>
    <row r="995" spans="4:4" ht="13.5" customHeight="1">
      <c r="D995" s="48"/>
    </row>
    <row r="996" spans="4:4" ht="13.5" customHeight="1">
      <c r="D996" s="48"/>
    </row>
    <row r="997" spans="4:4" ht="13.5" customHeight="1">
      <c r="D997" s="48"/>
    </row>
    <row r="998" spans="4:4" ht="13.5" customHeight="1">
      <c r="D998" s="48"/>
    </row>
    <row r="999" spans="4:4" ht="13.5" customHeight="1">
      <c r="D999" s="48"/>
    </row>
    <row r="1000" spans="4:4" ht="13.5" customHeight="1">
      <c r="D1000" s="48"/>
    </row>
  </sheetData>
  <hyperlinks>
    <hyperlink ref="F14" r:id="rId1"/>
    <hyperlink ref="F25" r:id="rId2"/>
    <hyperlink ref="E31" r:id="rId3"/>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F1000"/>
  <sheetViews>
    <sheetView workbookViewId="0"/>
  </sheetViews>
  <sheetFormatPr defaultColWidth="14.3984375" defaultRowHeight="15" customHeight="1"/>
  <cols>
    <col min="1" max="1" width="35.1328125" customWidth="1"/>
    <col min="2" max="2" width="43.86328125" customWidth="1"/>
    <col min="3" max="3" width="32" customWidth="1"/>
    <col min="4" max="4" width="19.86328125" customWidth="1"/>
    <col min="5" max="5" width="41.3984375" customWidth="1"/>
    <col min="6" max="6" width="36.1328125" customWidth="1"/>
    <col min="7" max="26" width="9" customWidth="1"/>
  </cols>
  <sheetData>
    <row r="1" spans="1:6" ht="13.5" customHeight="1">
      <c r="A1" s="61" t="s">
        <v>144</v>
      </c>
      <c r="B1" s="61" t="s">
        <v>145</v>
      </c>
      <c r="C1" s="61" t="s">
        <v>146</v>
      </c>
      <c r="D1" s="61" t="s">
        <v>15</v>
      </c>
      <c r="E1" s="61" t="s">
        <v>147</v>
      </c>
      <c r="F1" s="62" t="s">
        <v>148</v>
      </c>
    </row>
    <row r="2" spans="1:6" ht="13.5" customHeight="1">
      <c r="A2" s="63" t="s">
        <v>118</v>
      </c>
      <c r="B2" s="64" t="s">
        <v>149</v>
      </c>
      <c r="C2" s="65" t="s">
        <v>150</v>
      </c>
      <c r="D2" s="65" t="s">
        <v>151</v>
      </c>
      <c r="E2" s="66">
        <v>7.5684743999999998E-2</v>
      </c>
      <c r="F2" s="67">
        <f>E2*'2.Inventory analysis'!D43</f>
        <v>8.5977869183999996E-4</v>
      </c>
    </row>
    <row r="3" spans="1:6" ht="13.5" customHeight="1">
      <c r="A3" s="63" t="s">
        <v>152</v>
      </c>
      <c r="B3" s="64" t="s">
        <v>149</v>
      </c>
      <c r="C3" s="65" t="s">
        <v>150</v>
      </c>
      <c r="D3" s="65" t="s">
        <v>151</v>
      </c>
      <c r="E3" s="66">
        <v>7.5684743999999998E-2</v>
      </c>
      <c r="F3" s="68">
        <f>E3*'2.Inventory analysis'!D44</f>
        <v>2.8031386666666665E-2</v>
      </c>
    </row>
    <row r="4" spans="1:6" ht="13.5" customHeight="1">
      <c r="A4" s="63" t="s">
        <v>123</v>
      </c>
      <c r="B4" s="64" t="s">
        <v>149</v>
      </c>
      <c r="C4" s="65" t="s">
        <v>150</v>
      </c>
      <c r="D4" s="65" t="s">
        <v>151</v>
      </c>
      <c r="E4" s="66">
        <v>7.5684743999999998E-2</v>
      </c>
      <c r="F4" s="69">
        <f>E4*'2.Inventory analysis'!D45</f>
        <v>9.3291958749999997E-4</v>
      </c>
    </row>
    <row r="5" spans="1:6" ht="13.5" customHeight="1">
      <c r="A5" s="63" t="s">
        <v>128</v>
      </c>
      <c r="B5" s="64" t="s">
        <v>149</v>
      </c>
      <c r="C5" s="65" t="s">
        <v>150</v>
      </c>
      <c r="D5" s="65" t="s">
        <v>151</v>
      </c>
      <c r="E5" s="66">
        <v>7.5684743999999998E-2</v>
      </c>
      <c r="F5" s="70">
        <f>E5*'2.Inventory analysis'!D47</f>
        <v>1.156879154412001E-4</v>
      </c>
    </row>
    <row r="6" spans="1:6" ht="13.5" customHeight="1">
      <c r="A6" s="71" t="s">
        <v>135</v>
      </c>
      <c r="B6" s="72" t="s">
        <v>153</v>
      </c>
      <c r="C6" s="65" t="s">
        <v>150</v>
      </c>
      <c r="D6" s="72" t="s">
        <v>27</v>
      </c>
      <c r="E6" s="66">
        <v>15.123989999999999</v>
      </c>
      <c r="F6" s="70">
        <f>E6*'2.Inventory analysis'!D50</f>
        <v>1.9438918315575849E-9</v>
      </c>
    </row>
    <row r="7" spans="1:6" ht="13.5" customHeight="1">
      <c r="A7" s="63" t="s">
        <v>138</v>
      </c>
      <c r="B7" s="72" t="s">
        <v>154</v>
      </c>
      <c r="C7" s="65" t="s">
        <v>150</v>
      </c>
      <c r="D7" s="65" t="s">
        <v>27</v>
      </c>
      <c r="E7" s="66">
        <v>0.21268517000000001</v>
      </c>
      <c r="F7" s="70">
        <f>E7*'2.Inventory analysis'!D51</f>
        <v>1.4887961900000002E-2</v>
      </c>
    </row>
    <row r="8" spans="1:6" ht="13.5" customHeight="1">
      <c r="A8" s="63" t="s">
        <v>142</v>
      </c>
      <c r="B8" s="64" t="s">
        <v>155</v>
      </c>
      <c r="C8" s="65" t="s">
        <v>150</v>
      </c>
      <c r="D8" s="65" t="s">
        <v>27</v>
      </c>
      <c r="E8" s="66">
        <v>1.5667136000000002E-2</v>
      </c>
      <c r="F8" s="70">
        <f>E8*'2.Inventory analysis'!D53</f>
        <v>2.1758148155349793E-7</v>
      </c>
    </row>
    <row r="9" spans="1:6" ht="13.5" customHeight="1">
      <c r="A9" s="73" t="s">
        <v>156</v>
      </c>
      <c r="B9" s="74"/>
      <c r="C9" s="74"/>
      <c r="D9" s="74"/>
      <c r="E9" s="75"/>
      <c r="F9" s="76">
        <f>SUM(F2:F8)</f>
        <v>4.4827954286821257E-2</v>
      </c>
    </row>
    <row r="10" spans="1:6" ht="13.5" customHeight="1">
      <c r="B10" s="77"/>
      <c r="C10" s="77"/>
      <c r="D10" s="77"/>
      <c r="E10" s="77"/>
      <c r="F10" s="77"/>
    </row>
    <row r="11" spans="1:6" ht="13.5" customHeight="1">
      <c r="A11" s="63" t="s">
        <v>140</v>
      </c>
      <c r="B11" s="72" t="s">
        <v>154</v>
      </c>
      <c r="C11" s="65" t="s">
        <v>150</v>
      </c>
      <c r="D11" s="65" t="s">
        <v>27</v>
      </c>
      <c r="E11" s="66">
        <v>0.21268517000000001</v>
      </c>
      <c r="F11" s="78">
        <f>E11*'2.Inventory analysis'!D52</f>
        <v>0.106342585</v>
      </c>
    </row>
    <row r="12" spans="1:6" ht="13.5" customHeight="1">
      <c r="A12" s="73" t="s">
        <v>157</v>
      </c>
      <c r="B12" s="74"/>
      <c r="C12" s="74"/>
      <c r="D12" s="74"/>
      <c r="E12" s="75"/>
      <c r="F12" s="76">
        <f>F11</f>
        <v>0.106342585</v>
      </c>
    </row>
    <row r="13" spans="1:6" ht="13.5" customHeight="1"/>
    <row r="14" spans="1:6" ht="13.5" customHeight="1">
      <c r="E14" s="65" t="s">
        <v>158</v>
      </c>
      <c r="F14" s="79">
        <f>F12-F9</f>
        <v>6.1514630713178746E-2</v>
      </c>
    </row>
    <row r="15" spans="1:6" ht="13.5" customHeight="1">
      <c r="A15" s="57"/>
      <c r="E15" s="65" t="s">
        <v>159</v>
      </c>
      <c r="F15" s="79">
        <f>F14*'2.Inventory analysis'!D21*'2.Inventory analysis'!D23</f>
        <v>53.148640936186439</v>
      </c>
    </row>
    <row r="16" spans="1:6" ht="13.5" customHeight="1">
      <c r="E16" s="65" t="s">
        <v>160</v>
      </c>
      <c r="F16" s="79">
        <f>F15*365</f>
        <v>19399.253941708052</v>
      </c>
    </row>
    <row r="17" spans="5:6" ht="13.5" customHeight="1">
      <c r="E17" s="65" t="s">
        <v>161</v>
      </c>
      <c r="F17" s="79">
        <f>F16/1000</f>
        <v>19.39925394170805</v>
      </c>
    </row>
    <row r="18" spans="5:6" ht="13.5" customHeight="1">
      <c r="E18" s="80" t="s">
        <v>162</v>
      </c>
      <c r="F18" s="81">
        <f>F17*19</f>
        <v>368.58582489245293</v>
      </c>
    </row>
    <row r="19" spans="5:6" ht="13.5" customHeight="1">
      <c r="E19" s="82" t="s">
        <v>163</v>
      </c>
      <c r="F19" s="81">
        <f>F17*500</f>
        <v>9699.6269708540258</v>
      </c>
    </row>
    <row r="20" spans="5:6" ht="13.5" customHeight="1"/>
    <row r="21" spans="5:6" ht="13.5" customHeight="1"/>
    <row r="22" spans="5:6" ht="13.5" customHeight="1"/>
    <row r="23" spans="5:6" ht="13.5" customHeight="1"/>
    <row r="24" spans="5:6" ht="13.5" customHeight="1"/>
    <row r="25" spans="5:6" ht="13.5" customHeight="1"/>
    <row r="26" spans="5:6" ht="13.5" customHeight="1"/>
    <row r="27" spans="5:6" ht="13.5" customHeight="1"/>
    <row r="28" spans="5:6" ht="13.5" customHeight="1"/>
    <row r="29" spans="5:6" ht="13.5" customHeight="1"/>
    <row r="30" spans="5:6" ht="13.5" customHeight="1"/>
    <row r="31" spans="5:6" ht="13.5" customHeight="1"/>
    <row r="32" spans="5:6" ht="13.5" customHeight="1"/>
    <row r="33" spans="1:6" ht="13.5" customHeight="1"/>
    <row r="34" spans="1:6" ht="13.5" customHeight="1"/>
    <row r="35" spans="1:6" ht="13.5" customHeight="1"/>
    <row r="36" spans="1:6" ht="13.5" customHeight="1"/>
    <row r="37" spans="1:6" ht="13.5" customHeight="1"/>
    <row r="38" spans="1:6" ht="13.5" customHeight="1"/>
    <row r="39" spans="1:6" ht="13.5" customHeight="1"/>
    <row r="40" spans="1:6" ht="13.5" customHeight="1"/>
    <row r="41" spans="1:6" ht="13.5" customHeight="1">
      <c r="A41" s="34"/>
      <c r="B41" s="34"/>
      <c r="C41" s="34"/>
      <c r="D41" s="34"/>
      <c r="E41" s="34"/>
      <c r="F41" s="34"/>
    </row>
    <row r="42" spans="1:6" ht="13.5" customHeight="1"/>
    <row r="43" spans="1:6" ht="13.5" customHeight="1"/>
    <row r="44" spans="1:6" ht="13.5" customHeight="1"/>
    <row r="45" spans="1:6" ht="13.5" customHeight="1"/>
    <row r="46" spans="1:6" ht="13.5" customHeight="1"/>
    <row r="47" spans="1:6" ht="13.5" customHeight="1"/>
    <row r="48" spans="1:6"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1:B1000"/>
  <sheetViews>
    <sheetView workbookViewId="0"/>
  </sheetViews>
  <sheetFormatPr defaultColWidth="14.3984375" defaultRowHeight="15" customHeight="1"/>
  <cols>
    <col min="1" max="26" width="9" customWidth="1"/>
  </cols>
  <sheetData>
    <row r="1" spans="2:2" ht="13.5" customHeight="1">
      <c r="B1" s="3" t="s">
        <v>164</v>
      </c>
    </row>
    <row r="2" spans="2:2" ht="13.5" customHeight="1">
      <c r="B2" s="3" t="s">
        <v>165</v>
      </c>
    </row>
    <row r="3" spans="2:2" ht="13.5" customHeight="1">
      <c r="B3" s="3" t="s">
        <v>166</v>
      </c>
    </row>
    <row r="4" spans="2:2" ht="13.5" customHeight="1">
      <c r="B4" s="3" t="s">
        <v>167</v>
      </c>
    </row>
    <row r="5" spans="2:2" ht="13.5" customHeight="1">
      <c r="B5" s="3" t="s">
        <v>168</v>
      </c>
    </row>
    <row r="6" spans="2:2" ht="13.5" customHeight="1">
      <c r="B6" s="3" t="s">
        <v>169</v>
      </c>
    </row>
    <row r="7" spans="2:2" ht="13.5" customHeight="1">
      <c r="B7" s="3" t="s">
        <v>170</v>
      </c>
    </row>
    <row r="8" spans="2:2" ht="13.5" customHeight="1">
      <c r="B8" s="3" t="s">
        <v>171</v>
      </c>
    </row>
    <row r="9" spans="2:2" ht="13.5" customHeight="1">
      <c r="B9" s="3" t="s">
        <v>172</v>
      </c>
    </row>
    <row r="10" spans="2:2" ht="13.5" customHeight="1">
      <c r="B10" s="3" t="s">
        <v>173</v>
      </c>
    </row>
    <row r="11" spans="2:2" ht="13.5" customHeight="1">
      <c r="B11" s="3" t="s">
        <v>174</v>
      </c>
    </row>
    <row r="12" spans="2:2" ht="13.5" customHeight="1">
      <c r="B12" s="3" t="s">
        <v>175</v>
      </c>
    </row>
    <row r="13" spans="2:2" ht="13.5" customHeight="1">
      <c r="B13" s="3" t="s">
        <v>176</v>
      </c>
    </row>
    <row r="14" spans="2:2" ht="13.5" customHeight="1">
      <c r="B14" s="3" t="s">
        <v>177</v>
      </c>
    </row>
    <row r="15" spans="2:2" ht="13.5" customHeight="1">
      <c r="B15" s="3" t="s">
        <v>178</v>
      </c>
    </row>
    <row r="16" spans="2:2" ht="13.5" customHeight="1">
      <c r="B16" s="3" t="s">
        <v>179</v>
      </c>
    </row>
    <row r="17" spans="2:2" ht="13.5" customHeight="1">
      <c r="B17" s="3" t="s">
        <v>77</v>
      </c>
    </row>
    <row r="18" spans="2:2" ht="13.5" customHeight="1">
      <c r="B18" s="3" t="s">
        <v>180</v>
      </c>
    </row>
    <row r="19" spans="2:2" ht="13.5" customHeight="1">
      <c r="B19" s="3" t="s">
        <v>181</v>
      </c>
    </row>
    <row r="20" spans="2:2" ht="13.5" customHeight="1">
      <c r="B20" s="3" t="s">
        <v>182</v>
      </c>
    </row>
    <row r="21" spans="2:2" ht="13.5" customHeight="1">
      <c r="B21" s="3" t="s">
        <v>183</v>
      </c>
    </row>
    <row r="22" spans="2:2" ht="13.5" customHeight="1">
      <c r="B22" s="3" t="s">
        <v>184</v>
      </c>
    </row>
    <row r="23" spans="2:2" ht="13.5" customHeight="1">
      <c r="B23" s="3" t="s">
        <v>185</v>
      </c>
    </row>
    <row r="24" spans="2:2" ht="13.5" customHeight="1"/>
    <row r="25" spans="2:2" ht="13.5" customHeight="1"/>
    <row r="26" spans="2:2" ht="13.5" customHeight="1"/>
    <row r="27" spans="2:2" ht="13.5" customHeight="1"/>
    <row r="28" spans="2:2" ht="13.5" customHeight="1"/>
    <row r="29" spans="2:2" ht="13.5" customHeight="1"/>
    <row r="30" spans="2:2" ht="13.5" customHeight="1"/>
    <row r="31" spans="2:2" ht="13.5" customHeight="1"/>
    <row r="32" spans="2: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1.Goal and scope definition</vt:lpstr>
      <vt:lpstr>2.Inventory analysis</vt:lpstr>
      <vt:lpstr>3.Impact assessment</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Onwude, Daniel</dc:creator>
  <cp:lastModifiedBy>Onwude, Daniel</cp:lastModifiedBy>
  <dcterms:created xsi:type="dcterms:W3CDTF">2023-10-05T12:41:58Z</dcterms:created>
  <dcterms:modified xsi:type="dcterms:W3CDTF">2024-03-25T10:43:22Z</dcterms:modified>
</cp:coreProperties>
</file>